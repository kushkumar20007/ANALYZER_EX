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CE4B1F33-F768-468B-8ED1-74074DF1C342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Customers" sheetId="3" r:id="rId1"/>
    <sheet name="What-If" sheetId="5" r:id="rId2"/>
    <sheet name="Regression" sheetId="6" r:id="rId3"/>
    <sheet name="Data" sheetId="2" r:id="rId4"/>
    <sheet name="Monthly Growth" sheetId="8" r:id="rId5"/>
    <sheet name="High Value" sheetId="4" r:id="rId6"/>
    <sheet name="Pivot" sheetId="9" r:id="rId7"/>
    <sheet name="Dashboard" sheetId="1" r:id="rId8"/>
    <sheet name="Descriptive Stats" sheetId="7" r:id="rId9"/>
  </sheets>
  <definedNames>
    <definedName name="_xlnm._FilterDatabase" localSheetId="0" hidden="1">Customers!$A$4:$H$34</definedName>
    <definedName name="_xlnm._FilterDatabase" localSheetId="3" hidden="1">Data!$A$1:$L$201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8" i="9" l="1"/>
  <c r="G18" i="9" s="1"/>
  <c r="E18" i="9"/>
  <c r="D18" i="9"/>
  <c r="C18" i="9"/>
  <c r="B18" i="9"/>
  <c r="F17" i="9"/>
  <c r="E17" i="9"/>
  <c r="D17" i="9"/>
  <c r="C17" i="9"/>
  <c r="B17" i="9"/>
  <c r="G17" i="9" s="1"/>
  <c r="F16" i="9"/>
  <c r="E16" i="9"/>
  <c r="D16" i="9"/>
  <c r="C16" i="9"/>
  <c r="B16" i="9"/>
  <c r="G16" i="9" s="1"/>
  <c r="F15" i="9"/>
  <c r="E15" i="9"/>
  <c r="D15" i="9"/>
  <c r="C15" i="9"/>
  <c r="B15" i="9"/>
  <c r="G15" i="9" s="1"/>
  <c r="F14" i="9"/>
  <c r="F19" i="9" s="1"/>
  <c r="E14" i="9"/>
  <c r="E19" i="9" s="1"/>
  <c r="D14" i="9"/>
  <c r="D19" i="9" s="1"/>
  <c r="C14" i="9"/>
  <c r="C19" i="9" s="1"/>
  <c r="B14" i="9"/>
  <c r="B19" i="9" s="1"/>
  <c r="F9" i="9"/>
  <c r="E9" i="9"/>
  <c r="D9" i="9"/>
  <c r="C9" i="9"/>
  <c r="B9" i="9"/>
  <c r="G9" i="9" s="1"/>
  <c r="F8" i="9"/>
  <c r="E8" i="9"/>
  <c r="D8" i="9"/>
  <c r="C8" i="9"/>
  <c r="B8" i="9"/>
  <c r="G8" i="9" s="1"/>
  <c r="F7" i="9"/>
  <c r="E7" i="9"/>
  <c r="G7" i="9" s="1"/>
  <c r="D7" i="9"/>
  <c r="C7" i="9"/>
  <c r="B7" i="9"/>
  <c r="F6" i="9"/>
  <c r="E6" i="9"/>
  <c r="E10" i="9" s="1"/>
  <c r="D6" i="9"/>
  <c r="D10" i="9" s="1"/>
  <c r="C6" i="9"/>
  <c r="B6" i="9"/>
  <c r="G6" i="9" s="1"/>
  <c r="F5" i="9"/>
  <c r="F10" i="9" s="1"/>
  <c r="E5" i="9"/>
  <c r="D5" i="9"/>
  <c r="C5" i="9"/>
  <c r="C10" i="9" s="1"/>
  <c r="B5" i="9"/>
  <c r="B10" i="9" s="1"/>
  <c r="A7" i="8"/>
  <c r="A8" i="8" s="1"/>
  <c r="A6" i="8"/>
  <c r="C6" i="8" s="1"/>
  <c r="C5" i="8"/>
  <c r="B5" i="8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B24" i="6"/>
  <c r="B20" i="6"/>
  <c r="D20" i="6" s="1"/>
  <c r="E20" i="6" s="1"/>
  <c r="D19" i="6"/>
  <c r="C19" i="6"/>
  <c r="B19" i="6"/>
  <c r="C15" i="6"/>
  <c r="B14" i="6"/>
  <c r="F20" i="6" s="1"/>
  <c r="B9" i="6"/>
  <c r="B15" i="6" s="1"/>
  <c r="B8" i="6"/>
  <c r="C20" i="6" s="1"/>
  <c r="B6" i="6"/>
  <c r="B5" i="6" s="1"/>
  <c r="B7" i="5"/>
  <c r="C5" i="4"/>
  <c r="H34" i="3"/>
  <c r="E34" i="3"/>
  <c r="D34" i="3"/>
  <c r="C34" i="3"/>
  <c r="B34" i="3"/>
  <c r="H33" i="3"/>
  <c r="E33" i="3"/>
  <c r="D33" i="3"/>
  <c r="C33" i="3"/>
  <c r="B33" i="3"/>
  <c r="E32" i="3"/>
  <c r="D32" i="3"/>
  <c r="C32" i="3"/>
  <c r="H32" i="3" s="1"/>
  <c r="B32" i="3"/>
  <c r="D31" i="3"/>
  <c r="C31" i="3"/>
  <c r="B31" i="3"/>
  <c r="D30" i="3"/>
  <c r="C30" i="3"/>
  <c r="B30" i="3"/>
  <c r="H29" i="3"/>
  <c r="D29" i="3"/>
  <c r="C29" i="3"/>
  <c r="B29" i="3"/>
  <c r="H28" i="3"/>
  <c r="D28" i="3"/>
  <c r="C28" i="3"/>
  <c r="B28" i="3"/>
  <c r="H27" i="3"/>
  <c r="D27" i="3"/>
  <c r="C27" i="3"/>
  <c r="E27" i="3" s="1"/>
  <c r="B27" i="3"/>
  <c r="H26" i="3"/>
  <c r="E26" i="3"/>
  <c r="D26" i="3"/>
  <c r="C26" i="3"/>
  <c r="B26" i="3"/>
  <c r="H25" i="3"/>
  <c r="E25" i="3"/>
  <c r="D25" i="3"/>
  <c r="C25" i="3"/>
  <c r="B25" i="3"/>
  <c r="E24" i="3"/>
  <c r="D24" i="3"/>
  <c r="C24" i="3"/>
  <c r="H24" i="3" s="1"/>
  <c r="B24" i="3"/>
  <c r="D23" i="3"/>
  <c r="C23" i="3"/>
  <c r="H23" i="3" s="1"/>
  <c r="B23" i="3"/>
  <c r="D22" i="3"/>
  <c r="C22" i="3"/>
  <c r="F11" i="3" s="1"/>
  <c r="B22" i="3"/>
  <c r="H21" i="3"/>
  <c r="D21" i="3"/>
  <c r="C21" i="3"/>
  <c r="B21" i="3"/>
  <c r="H20" i="3"/>
  <c r="D20" i="3"/>
  <c r="C20" i="3"/>
  <c r="B20" i="3"/>
  <c r="H19" i="3"/>
  <c r="D19" i="3"/>
  <c r="C19" i="3"/>
  <c r="E19" i="3" s="1"/>
  <c r="B19" i="3"/>
  <c r="H18" i="3"/>
  <c r="E18" i="3"/>
  <c r="D18" i="3"/>
  <c r="C18" i="3"/>
  <c r="B18" i="3"/>
  <c r="H17" i="3"/>
  <c r="E17" i="3"/>
  <c r="D17" i="3"/>
  <c r="C17" i="3"/>
  <c r="B17" i="3"/>
  <c r="D16" i="3"/>
  <c r="E16" i="3" s="1"/>
  <c r="C16" i="3"/>
  <c r="B16" i="3"/>
  <c r="D15" i="3"/>
  <c r="C15" i="3"/>
  <c r="B15" i="3"/>
  <c r="D14" i="3"/>
  <c r="C14" i="3"/>
  <c r="B14" i="3"/>
  <c r="H13" i="3"/>
  <c r="D13" i="3"/>
  <c r="C13" i="3"/>
  <c r="B13" i="3"/>
  <c r="H12" i="3"/>
  <c r="D12" i="3"/>
  <c r="C12" i="3"/>
  <c r="B12" i="3"/>
  <c r="H11" i="3"/>
  <c r="D11" i="3"/>
  <c r="C11" i="3"/>
  <c r="E11" i="3" s="1"/>
  <c r="B11" i="3"/>
  <c r="H10" i="3"/>
  <c r="E10" i="3"/>
  <c r="D10" i="3"/>
  <c r="C10" i="3"/>
  <c r="B10" i="3"/>
  <c r="H9" i="3"/>
  <c r="E9" i="3"/>
  <c r="D9" i="3"/>
  <c r="C9" i="3"/>
  <c r="B9" i="3"/>
  <c r="D8" i="3"/>
  <c r="C8" i="3"/>
  <c r="B8" i="3"/>
  <c r="D7" i="3"/>
  <c r="C7" i="3"/>
  <c r="B7" i="3"/>
  <c r="D6" i="3"/>
  <c r="C6" i="3"/>
  <c r="F25" i="3" s="1"/>
  <c r="B6" i="3"/>
  <c r="H5" i="3"/>
  <c r="D5" i="3"/>
  <c r="B24" i="4" s="1"/>
  <c r="C5" i="3"/>
  <c r="B5" i="3"/>
  <c r="B22" i="4" s="1"/>
  <c r="L201" i="2"/>
  <c r="K201" i="2"/>
  <c r="J201" i="2"/>
  <c r="L200" i="2"/>
  <c r="K200" i="2"/>
  <c r="J200" i="2"/>
  <c r="L199" i="2"/>
  <c r="K199" i="2"/>
  <c r="J199" i="2"/>
  <c r="L198" i="2"/>
  <c r="K198" i="2"/>
  <c r="J198" i="2"/>
  <c r="L197" i="2"/>
  <c r="K197" i="2"/>
  <c r="J197" i="2"/>
  <c r="L196" i="2"/>
  <c r="K196" i="2"/>
  <c r="J196" i="2"/>
  <c r="L195" i="2"/>
  <c r="K195" i="2"/>
  <c r="J195" i="2"/>
  <c r="L194" i="2"/>
  <c r="K194" i="2"/>
  <c r="J194" i="2"/>
  <c r="L193" i="2"/>
  <c r="K193" i="2"/>
  <c r="J193" i="2"/>
  <c r="L192" i="2"/>
  <c r="K192" i="2"/>
  <c r="J192" i="2"/>
  <c r="L191" i="2"/>
  <c r="K191" i="2"/>
  <c r="J191" i="2"/>
  <c r="L190" i="2"/>
  <c r="K190" i="2"/>
  <c r="J190" i="2"/>
  <c r="L189" i="2"/>
  <c r="K189" i="2"/>
  <c r="J189" i="2"/>
  <c r="L188" i="2"/>
  <c r="K188" i="2"/>
  <c r="J188" i="2"/>
  <c r="L187" i="2"/>
  <c r="K187" i="2"/>
  <c r="J187" i="2"/>
  <c r="L186" i="2"/>
  <c r="K186" i="2"/>
  <c r="J186" i="2"/>
  <c r="L185" i="2"/>
  <c r="K185" i="2"/>
  <c r="J185" i="2"/>
  <c r="L184" i="2"/>
  <c r="K184" i="2"/>
  <c r="J184" i="2"/>
  <c r="L183" i="2"/>
  <c r="K183" i="2"/>
  <c r="J183" i="2"/>
  <c r="L182" i="2"/>
  <c r="K182" i="2"/>
  <c r="J182" i="2"/>
  <c r="L181" i="2"/>
  <c r="K181" i="2"/>
  <c r="J181" i="2"/>
  <c r="L180" i="2"/>
  <c r="K180" i="2"/>
  <c r="J180" i="2"/>
  <c r="L179" i="2"/>
  <c r="K179" i="2"/>
  <c r="J179" i="2"/>
  <c r="L178" i="2"/>
  <c r="K178" i="2"/>
  <c r="J178" i="2"/>
  <c r="L177" i="2"/>
  <c r="K177" i="2"/>
  <c r="J177" i="2"/>
  <c r="L176" i="2"/>
  <c r="K176" i="2"/>
  <c r="J176" i="2"/>
  <c r="L175" i="2"/>
  <c r="K175" i="2"/>
  <c r="J175" i="2"/>
  <c r="L174" i="2"/>
  <c r="K174" i="2"/>
  <c r="J174" i="2"/>
  <c r="L173" i="2"/>
  <c r="K173" i="2"/>
  <c r="J173" i="2"/>
  <c r="L172" i="2"/>
  <c r="K172" i="2"/>
  <c r="J172" i="2"/>
  <c r="L171" i="2"/>
  <c r="K171" i="2"/>
  <c r="J171" i="2"/>
  <c r="L170" i="2"/>
  <c r="K170" i="2"/>
  <c r="J170" i="2"/>
  <c r="L169" i="2"/>
  <c r="K169" i="2"/>
  <c r="J169" i="2"/>
  <c r="L168" i="2"/>
  <c r="K168" i="2"/>
  <c r="J168" i="2"/>
  <c r="L167" i="2"/>
  <c r="K167" i="2"/>
  <c r="J167" i="2"/>
  <c r="L166" i="2"/>
  <c r="K166" i="2"/>
  <c r="J166" i="2"/>
  <c r="L165" i="2"/>
  <c r="K165" i="2"/>
  <c r="J165" i="2"/>
  <c r="L164" i="2"/>
  <c r="K164" i="2"/>
  <c r="J164" i="2"/>
  <c r="L163" i="2"/>
  <c r="K163" i="2"/>
  <c r="J163" i="2"/>
  <c r="L162" i="2"/>
  <c r="K162" i="2"/>
  <c r="J162" i="2"/>
  <c r="L161" i="2"/>
  <c r="K161" i="2"/>
  <c r="J161" i="2"/>
  <c r="L160" i="2"/>
  <c r="K160" i="2"/>
  <c r="J160" i="2"/>
  <c r="L159" i="2"/>
  <c r="K159" i="2"/>
  <c r="J159" i="2"/>
  <c r="L158" i="2"/>
  <c r="K158" i="2"/>
  <c r="J158" i="2"/>
  <c r="L157" i="2"/>
  <c r="K157" i="2"/>
  <c r="J157" i="2"/>
  <c r="L156" i="2"/>
  <c r="K156" i="2"/>
  <c r="J156" i="2"/>
  <c r="L155" i="2"/>
  <c r="K155" i="2"/>
  <c r="J155" i="2"/>
  <c r="L154" i="2"/>
  <c r="K154" i="2"/>
  <c r="J154" i="2"/>
  <c r="L153" i="2"/>
  <c r="K153" i="2"/>
  <c r="J153" i="2"/>
  <c r="L152" i="2"/>
  <c r="K152" i="2"/>
  <c r="J152" i="2"/>
  <c r="L151" i="2"/>
  <c r="K151" i="2"/>
  <c r="J151" i="2"/>
  <c r="L150" i="2"/>
  <c r="K150" i="2"/>
  <c r="J150" i="2"/>
  <c r="L149" i="2"/>
  <c r="K149" i="2"/>
  <c r="J149" i="2"/>
  <c r="L148" i="2"/>
  <c r="K148" i="2"/>
  <c r="J148" i="2"/>
  <c r="L147" i="2"/>
  <c r="K147" i="2"/>
  <c r="J147" i="2"/>
  <c r="L146" i="2"/>
  <c r="K146" i="2"/>
  <c r="J146" i="2"/>
  <c r="L145" i="2"/>
  <c r="K145" i="2"/>
  <c r="J145" i="2"/>
  <c r="L144" i="2"/>
  <c r="K144" i="2"/>
  <c r="J144" i="2"/>
  <c r="L143" i="2"/>
  <c r="K143" i="2"/>
  <c r="J143" i="2"/>
  <c r="L142" i="2"/>
  <c r="K142" i="2"/>
  <c r="J142" i="2"/>
  <c r="L141" i="2"/>
  <c r="K141" i="2"/>
  <c r="J141" i="2"/>
  <c r="L140" i="2"/>
  <c r="K140" i="2"/>
  <c r="J140" i="2"/>
  <c r="L139" i="2"/>
  <c r="K139" i="2"/>
  <c r="J139" i="2"/>
  <c r="L138" i="2"/>
  <c r="K138" i="2"/>
  <c r="J138" i="2"/>
  <c r="L137" i="2"/>
  <c r="K137" i="2"/>
  <c r="J137" i="2"/>
  <c r="L136" i="2"/>
  <c r="K136" i="2"/>
  <c r="J136" i="2"/>
  <c r="L135" i="2"/>
  <c r="K135" i="2"/>
  <c r="J135" i="2"/>
  <c r="L134" i="2"/>
  <c r="K134" i="2"/>
  <c r="J134" i="2"/>
  <c r="L133" i="2"/>
  <c r="K133" i="2"/>
  <c r="J133" i="2"/>
  <c r="L132" i="2"/>
  <c r="K132" i="2"/>
  <c r="J132" i="2"/>
  <c r="L131" i="2"/>
  <c r="K131" i="2"/>
  <c r="J131" i="2"/>
  <c r="L130" i="2"/>
  <c r="K130" i="2"/>
  <c r="J130" i="2"/>
  <c r="L129" i="2"/>
  <c r="K129" i="2"/>
  <c r="J129" i="2"/>
  <c r="L128" i="2"/>
  <c r="K128" i="2"/>
  <c r="J128" i="2"/>
  <c r="L127" i="2"/>
  <c r="K127" i="2"/>
  <c r="J127" i="2"/>
  <c r="L126" i="2"/>
  <c r="K126" i="2"/>
  <c r="J126" i="2"/>
  <c r="L125" i="2"/>
  <c r="K125" i="2"/>
  <c r="J125" i="2"/>
  <c r="L124" i="2"/>
  <c r="K124" i="2"/>
  <c r="J124" i="2"/>
  <c r="L123" i="2"/>
  <c r="K123" i="2"/>
  <c r="J123" i="2"/>
  <c r="L122" i="2"/>
  <c r="K122" i="2"/>
  <c r="J122" i="2"/>
  <c r="L121" i="2"/>
  <c r="K121" i="2"/>
  <c r="J121" i="2"/>
  <c r="L120" i="2"/>
  <c r="K120" i="2"/>
  <c r="J120" i="2"/>
  <c r="L119" i="2"/>
  <c r="K119" i="2"/>
  <c r="J119" i="2"/>
  <c r="L118" i="2"/>
  <c r="K118" i="2"/>
  <c r="J118" i="2"/>
  <c r="L117" i="2"/>
  <c r="K117" i="2"/>
  <c r="J117" i="2"/>
  <c r="L116" i="2"/>
  <c r="K116" i="2"/>
  <c r="J116" i="2"/>
  <c r="L115" i="2"/>
  <c r="K115" i="2"/>
  <c r="J115" i="2"/>
  <c r="L114" i="2"/>
  <c r="K114" i="2"/>
  <c r="J114" i="2"/>
  <c r="L113" i="2"/>
  <c r="K113" i="2"/>
  <c r="J113" i="2"/>
  <c r="L112" i="2"/>
  <c r="K112" i="2"/>
  <c r="J112" i="2"/>
  <c r="L111" i="2"/>
  <c r="K111" i="2"/>
  <c r="J111" i="2"/>
  <c r="L110" i="2"/>
  <c r="K110" i="2"/>
  <c r="J110" i="2"/>
  <c r="L109" i="2"/>
  <c r="K109" i="2"/>
  <c r="J109" i="2"/>
  <c r="L108" i="2"/>
  <c r="K108" i="2"/>
  <c r="J108" i="2"/>
  <c r="L107" i="2"/>
  <c r="K107" i="2"/>
  <c r="J107" i="2"/>
  <c r="L106" i="2"/>
  <c r="K106" i="2"/>
  <c r="J106" i="2"/>
  <c r="L105" i="2"/>
  <c r="K105" i="2"/>
  <c r="J105" i="2"/>
  <c r="L104" i="2"/>
  <c r="K104" i="2"/>
  <c r="J104" i="2"/>
  <c r="L103" i="2"/>
  <c r="K103" i="2"/>
  <c r="J103" i="2"/>
  <c r="L102" i="2"/>
  <c r="K102" i="2"/>
  <c r="J102" i="2"/>
  <c r="L101" i="2"/>
  <c r="K101" i="2"/>
  <c r="J101" i="2"/>
  <c r="L100" i="2"/>
  <c r="K100" i="2"/>
  <c r="J100" i="2"/>
  <c r="L99" i="2"/>
  <c r="K99" i="2"/>
  <c r="J99" i="2"/>
  <c r="L98" i="2"/>
  <c r="K98" i="2"/>
  <c r="J98" i="2"/>
  <c r="L97" i="2"/>
  <c r="K97" i="2"/>
  <c r="J97" i="2"/>
  <c r="L96" i="2"/>
  <c r="K96" i="2"/>
  <c r="J96" i="2"/>
  <c r="L95" i="2"/>
  <c r="K95" i="2"/>
  <c r="J95" i="2"/>
  <c r="L94" i="2"/>
  <c r="K94" i="2"/>
  <c r="J94" i="2"/>
  <c r="L93" i="2"/>
  <c r="K93" i="2"/>
  <c r="J93" i="2"/>
  <c r="L92" i="2"/>
  <c r="K92" i="2"/>
  <c r="J92" i="2"/>
  <c r="L91" i="2"/>
  <c r="K91" i="2"/>
  <c r="J91" i="2"/>
  <c r="L90" i="2"/>
  <c r="K90" i="2"/>
  <c r="J90" i="2"/>
  <c r="L89" i="2"/>
  <c r="K89" i="2"/>
  <c r="J89" i="2"/>
  <c r="L88" i="2"/>
  <c r="K88" i="2"/>
  <c r="J88" i="2"/>
  <c r="L87" i="2"/>
  <c r="K87" i="2"/>
  <c r="J87" i="2"/>
  <c r="L86" i="2"/>
  <c r="K86" i="2"/>
  <c r="J86" i="2"/>
  <c r="L85" i="2"/>
  <c r="K85" i="2"/>
  <c r="J85" i="2"/>
  <c r="L84" i="2"/>
  <c r="K84" i="2"/>
  <c r="J84" i="2"/>
  <c r="L83" i="2"/>
  <c r="K83" i="2"/>
  <c r="J83" i="2"/>
  <c r="L82" i="2"/>
  <c r="K82" i="2"/>
  <c r="J82" i="2"/>
  <c r="L81" i="2"/>
  <c r="K81" i="2"/>
  <c r="J81" i="2"/>
  <c r="L80" i="2"/>
  <c r="K80" i="2"/>
  <c r="J80" i="2"/>
  <c r="L79" i="2"/>
  <c r="K79" i="2"/>
  <c r="J79" i="2"/>
  <c r="L78" i="2"/>
  <c r="K78" i="2"/>
  <c r="J78" i="2"/>
  <c r="L77" i="2"/>
  <c r="K77" i="2"/>
  <c r="J77" i="2"/>
  <c r="L76" i="2"/>
  <c r="K76" i="2"/>
  <c r="J76" i="2"/>
  <c r="L75" i="2"/>
  <c r="K75" i="2"/>
  <c r="J75" i="2"/>
  <c r="L74" i="2"/>
  <c r="K74" i="2"/>
  <c r="J74" i="2"/>
  <c r="L73" i="2"/>
  <c r="K73" i="2"/>
  <c r="J73" i="2"/>
  <c r="L72" i="2"/>
  <c r="K72" i="2"/>
  <c r="J72" i="2"/>
  <c r="L71" i="2"/>
  <c r="K71" i="2"/>
  <c r="J71" i="2"/>
  <c r="L70" i="2"/>
  <c r="K70" i="2"/>
  <c r="J70" i="2"/>
  <c r="L69" i="2"/>
  <c r="K69" i="2"/>
  <c r="J69" i="2"/>
  <c r="L68" i="2"/>
  <c r="K68" i="2"/>
  <c r="J68" i="2"/>
  <c r="L67" i="2"/>
  <c r="K67" i="2"/>
  <c r="J67" i="2"/>
  <c r="L66" i="2"/>
  <c r="K66" i="2"/>
  <c r="J66" i="2"/>
  <c r="L65" i="2"/>
  <c r="K65" i="2"/>
  <c r="J65" i="2"/>
  <c r="L64" i="2"/>
  <c r="K64" i="2"/>
  <c r="J64" i="2"/>
  <c r="L63" i="2"/>
  <c r="K63" i="2"/>
  <c r="J63" i="2"/>
  <c r="L62" i="2"/>
  <c r="K62" i="2"/>
  <c r="J62" i="2"/>
  <c r="L61" i="2"/>
  <c r="K61" i="2"/>
  <c r="J61" i="2"/>
  <c r="L60" i="2"/>
  <c r="K60" i="2"/>
  <c r="J60" i="2"/>
  <c r="L59" i="2"/>
  <c r="K59" i="2"/>
  <c r="J59" i="2"/>
  <c r="L58" i="2"/>
  <c r="K58" i="2"/>
  <c r="J58" i="2"/>
  <c r="L57" i="2"/>
  <c r="K57" i="2"/>
  <c r="J57" i="2"/>
  <c r="L56" i="2"/>
  <c r="K56" i="2"/>
  <c r="J56" i="2"/>
  <c r="L55" i="2"/>
  <c r="K55" i="2"/>
  <c r="J55" i="2"/>
  <c r="L54" i="2"/>
  <c r="K54" i="2"/>
  <c r="J54" i="2"/>
  <c r="L53" i="2"/>
  <c r="K53" i="2"/>
  <c r="J53" i="2"/>
  <c r="L52" i="2"/>
  <c r="K52" i="2"/>
  <c r="J52" i="2"/>
  <c r="L51" i="2"/>
  <c r="K51" i="2"/>
  <c r="J51" i="2"/>
  <c r="L50" i="2"/>
  <c r="K50" i="2"/>
  <c r="J50" i="2"/>
  <c r="L49" i="2"/>
  <c r="K49" i="2"/>
  <c r="J49" i="2"/>
  <c r="L48" i="2"/>
  <c r="K48" i="2"/>
  <c r="J48" i="2"/>
  <c r="L47" i="2"/>
  <c r="K47" i="2"/>
  <c r="J47" i="2"/>
  <c r="L46" i="2"/>
  <c r="K46" i="2"/>
  <c r="J46" i="2"/>
  <c r="L45" i="2"/>
  <c r="K45" i="2"/>
  <c r="J45" i="2"/>
  <c r="L44" i="2"/>
  <c r="K44" i="2"/>
  <c r="J44" i="2"/>
  <c r="L43" i="2"/>
  <c r="K43" i="2"/>
  <c r="J43" i="2"/>
  <c r="L42" i="2"/>
  <c r="K42" i="2"/>
  <c r="J42" i="2"/>
  <c r="L41" i="2"/>
  <c r="K41" i="2"/>
  <c r="J41" i="2"/>
  <c r="L40" i="2"/>
  <c r="K40" i="2"/>
  <c r="J40" i="2"/>
  <c r="L39" i="2"/>
  <c r="K39" i="2"/>
  <c r="J39" i="2"/>
  <c r="L38" i="2"/>
  <c r="K38" i="2"/>
  <c r="J38" i="2"/>
  <c r="L37" i="2"/>
  <c r="K37" i="2"/>
  <c r="J37" i="2"/>
  <c r="L36" i="2"/>
  <c r="K36" i="2"/>
  <c r="J36" i="2"/>
  <c r="L35" i="2"/>
  <c r="K35" i="2"/>
  <c r="J35" i="2"/>
  <c r="L34" i="2"/>
  <c r="K34" i="2"/>
  <c r="J34" i="2"/>
  <c r="L33" i="2"/>
  <c r="K33" i="2"/>
  <c r="J33" i="2"/>
  <c r="L32" i="2"/>
  <c r="K32" i="2"/>
  <c r="J32" i="2"/>
  <c r="L31" i="2"/>
  <c r="K31" i="2"/>
  <c r="J31" i="2"/>
  <c r="L30" i="2"/>
  <c r="K30" i="2"/>
  <c r="J30" i="2"/>
  <c r="L29" i="2"/>
  <c r="K29" i="2"/>
  <c r="J29" i="2"/>
  <c r="L28" i="2"/>
  <c r="K28" i="2"/>
  <c r="J28" i="2"/>
  <c r="L27" i="2"/>
  <c r="K27" i="2"/>
  <c r="J27" i="2"/>
  <c r="L26" i="2"/>
  <c r="K26" i="2"/>
  <c r="J26" i="2"/>
  <c r="L25" i="2"/>
  <c r="K25" i="2"/>
  <c r="J25" i="2"/>
  <c r="L24" i="2"/>
  <c r="K24" i="2"/>
  <c r="J24" i="2"/>
  <c r="L23" i="2"/>
  <c r="K23" i="2"/>
  <c r="J23" i="2"/>
  <c r="L22" i="2"/>
  <c r="K22" i="2"/>
  <c r="J22" i="2"/>
  <c r="L21" i="2"/>
  <c r="K21" i="2"/>
  <c r="J21" i="2"/>
  <c r="L20" i="2"/>
  <c r="K20" i="2"/>
  <c r="J20" i="2"/>
  <c r="L19" i="2"/>
  <c r="K19" i="2"/>
  <c r="J19" i="2"/>
  <c r="L18" i="2"/>
  <c r="K18" i="2"/>
  <c r="J18" i="2"/>
  <c r="L17" i="2"/>
  <c r="K17" i="2"/>
  <c r="J17" i="2"/>
  <c r="L16" i="2"/>
  <c r="K16" i="2"/>
  <c r="J16" i="2"/>
  <c r="L15" i="2"/>
  <c r="K15" i="2"/>
  <c r="J15" i="2"/>
  <c r="L14" i="2"/>
  <c r="K14" i="2"/>
  <c r="J14" i="2"/>
  <c r="L13" i="2"/>
  <c r="K13" i="2"/>
  <c r="J13" i="2"/>
  <c r="L12" i="2"/>
  <c r="K12" i="2"/>
  <c r="J12" i="2"/>
  <c r="L11" i="2"/>
  <c r="K11" i="2"/>
  <c r="J11" i="2"/>
  <c r="L10" i="2"/>
  <c r="K10" i="2"/>
  <c r="J10" i="2"/>
  <c r="L9" i="2"/>
  <c r="K9" i="2"/>
  <c r="J9" i="2"/>
  <c r="L8" i="2"/>
  <c r="K8" i="2"/>
  <c r="J8" i="2"/>
  <c r="L7" i="2"/>
  <c r="K7" i="2"/>
  <c r="J7" i="2"/>
  <c r="L6" i="2"/>
  <c r="K6" i="2"/>
  <c r="J6" i="2"/>
  <c r="L5" i="2"/>
  <c r="K5" i="2"/>
  <c r="J5" i="2"/>
  <c r="L4" i="2"/>
  <c r="K4" i="2"/>
  <c r="J4" i="2"/>
  <c r="L3" i="2"/>
  <c r="K3" i="2"/>
  <c r="J3" i="2"/>
  <c r="L2" i="2"/>
  <c r="K2" i="2"/>
  <c r="J2" i="2"/>
  <c r="E7" i="1"/>
  <c r="C7" i="1"/>
  <c r="E4" i="1"/>
  <c r="D4" i="1"/>
  <c r="C4" i="1"/>
  <c r="A14" i="1" s="1"/>
  <c r="B4" i="1"/>
  <c r="A4" i="1"/>
  <c r="B6" i="5" l="1"/>
  <c r="F14" i="7"/>
  <c r="F10" i="7"/>
  <c r="F6" i="7"/>
  <c r="B4" i="5"/>
  <c r="F9" i="7"/>
  <c r="F15" i="7"/>
  <c r="F11" i="7"/>
  <c r="F7" i="7"/>
  <c r="F17" i="7"/>
  <c r="F5" i="7"/>
  <c r="F16" i="7"/>
  <c r="F12" i="7"/>
  <c r="F8" i="7"/>
  <c r="F13" i="7"/>
  <c r="G14" i="7"/>
  <c r="F34" i="3"/>
  <c r="F28" i="3"/>
  <c r="F9" i="3"/>
  <c r="F12" i="3"/>
  <c r="B26" i="4"/>
  <c r="H8" i="3"/>
  <c r="F8" i="3"/>
  <c r="H14" i="3"/>
  <c r="F14" i="3"/>
  <c r="E14" i="3"/>
  <c r="F21" i="3"/>
  <c r="H30" i="3"/>
  <c r="F30" i="3"/>
  <c r="E30" i="3"/>
  <c r="E31" i="3"/>
  <c r="F16" i="3"/>
  <c r="F26" i="3"/>
  <c r="F19" i="3"/>
  <c r="H6" i="3"/>
  <c r="C4" i="4" s="1"/>
  <c r="F4" i="1" s="1"/>
  <c r="F6" i="3"/>
  <c r="G6" i="3" s="1"/>
  <c r="E6" i="3"/>
  <c r="F33" i="3"/>
  <c r="E8" i="3"/>
  <c r="F29" i="3"/>
  <c r="E15" i="3"/>
  <c r="H15" i="3"/>
  <c r="F15" i="3"/>
  <c r="G15" i="3" s="1"/>
  <c r="F18" i="3"/>
  <c r="H22" i="3"/>
  <c r="F22" i="3"/>
  <c r="E22" i="3"/>
  <c r="B8" i="8"/>
  <c r="C8" i="8"/>
  <c r="A9" i="8"/>
  <c r="F20" i="3"/>
  <c r="G20" i="3" s="1"/>
  <c r="H7" i="3"/>
  <c r="E7" i="3"/>
  <c r="F7" i="3"/>
  <c r="F10" i="3"/>
  <c r="F17" i="3"/>
  <c r="F13" i="3"/>
  <c r="G9" i="7"/>
  <c r="G13" i="7"/>
  <c r="G17" i="7"/>
  <c r="G14" i="9"/>
  <c r="G19" i="9" s="1"/>
  <c r="F32" i="3"/>
  <c r="F19" i="6"/>
  <c r="F23" i="3"/>
  <c r="F31" i="3"/>
  <c r="G19" i="6"/>
  <c r="A27" i="6"/>
  <c r="B7" i="8"/>
  <c r="D8" i="8" s="1"/>
  <c r="E8" i="8" s="1"/>
  <c r="E19" i="6"/>
  <c r="G20" i="6"/>
  <c r="E23" i="3"/>
  <c r="F24" i="3"/>
  <c r="E13" i="3"/>
  <c r="H16" i="3"/>
  <c r="E21" i="3"/>
  <c r="E29" i="3"/>
  <c r="G8" i="7"/>
  <c r="G12" i="7"/>
  <c r="G16" i="7"/>
  <c r="C7" i="8"/>
  <c r="F7" i="1"/>
  <c r="B23" i="4"/>
  <c r="B7" i="6"/>
  <c r="G5" i="7"/>
  <c r="E5" i="3"/>
  <c r="F5" i="3"/>
  <c r="E12" i="3"/>
  <c r="E20" i="3"/>
  <c r="E28" i="3"/>
  <c r="H31" i="3"/>
  <c r="C13" i="6"/>
  <c r="G7" i="7"/>
  <c r="G11" i="7"/>
  <c r="G15" i="7"/>
  <c r="B6" i="8"/>
  <c r="G5" i="9"/>
  <c r="F27" i="3"/>
  <c r="B5" i="5"/>
  <c r="G6" i="7"/>
  <c r="G10" i="7"/>
  <c r="D13" i="6" l="1"/>
  <c r="E13" i="6" s="1"/>
  <c r="F13" i="6" s="1"/>
  <c r="C14" i="6"/>
  <c r="D14" i="6" s="1"/>
  <c r="C9" i="8"/>
  <c r="B9" i="8"/>
  <c r="D9" i="8" s="1"/>
  <c r="E9" i="8" s="1"/>
  <c r="A10" i="8"/>
  <c r="G21" i="3"/>
  <c r="C25" i="5"/>
  <c r="D25" i="5" s="1"/>
  <c r="C24" i="5"/>
  <c r="D24" i="5" s="1"/>
  <c r="C23" i="5"/>
  <c r="D23" i="5" s="1"/>
  <c r="C22" i="5"/>
  <c r="D22" i="5" s="1"/>
  <c r="K27" i="5"/>
  <c r="K26" i="5"/>
  <c r="K25" i="5"/>
  <c r="K24" i="5"/>
  <c r="K23" i="5"/>
  <c r="K22" i="5"/>
  <c r="K21" i="5"/>
  <c r="C29" i="5"/>
  <c r="D29" i="5" s="1"/>
  <c r="H25" i="5"/>
  <c r="H23" i="5"/>
  <c r="H21" i="5"/>
  <c r="G27" i="5"/>
  <c r="G25" i="5"/>
  <c r="G23" i="5"/>
  <c r="G21" i="5"/>
  <c r="J27" i="5"/>
  <c r="J26" i="5"/>
  <c r="J25" i="5"/>
  <c r="J24" i="5"/>
  <c r="J23" i="5"/>
  <c r="J22" i="5"/>
  <c r="J21" i="5"/>
  <c r="I27" i="5"/>
  <c r="I26" i="5"/>
  <c r="I25" i="5"/>
  <c r="I24" i="5"/>
  <c r="I23" i="5"/>
  <c r="I22" i="5"/>
  <c r="I21" i="5"/>
  <c r="H27" i="5"/>
  <c r="H26" i="5"/>
  <c r="H24" i="5"/>
  <c r="H22" i="5"/>
  <c r="G26" i="5"/>
  <c r="G24" i="5"/>
  <c r="G22" i="5"/>
  <c r="G27" i="3"/>
  <c r="G31" i="3"/>
  <c r="G13" i="3"/>
  <c r="G19" i="3"/>
  <c r="G12" i="3"/>
  <c r="G24" i="3"/>
  <c r="G23" i="3"/>
  <c r="G17" i="3"/>
  <c r="G26" i="3"/>
  <c r="G14" i="3"/>
  <c r="G9" i="3"/>
  <c r="D6" i="8"/>
  <c r="E6" i="8" s="1"/>
  <c r="D7" i="8"/>
  <c r="E7" i="8" s="1"/>
  <c r="G10" i="3"/>
  <c r="G29" i="3"/>
  <c r="G16" i="3"/>
  <c r="G28" i="3"/>
  <c r="B7" i="1"/>
  <c r="G10" i="9"/>
  <c r="A12" i="1" s="1"/>
  <c r="G5" i="3"/>
  <c r="B25" i="4"/>
  <c r="G32" i="3"/>
  <c r="G7" i="3"/>
  <c r="G22" i="3"/>
  <c r="G8" i="3"/>
  <c r="G34" i="3"/>
  <c r="B31" i="5"/>
  <c r="C31" i="5" s="1"/>
  <c r="D31" i="5" s="1"/>
  <c r="B28" i="5"/>
  <c r="C28" i="5" s="1"/>
  <c r="D28" i="5" s="1"/>
  <c r="B27" i="5"/>
  <c r="C27" i="5" s="1"/>
  <c r="D27" i="5" s="1"/>
  <c r="B26" i="5"/>
  <c r="C26" i="5" s="1"/>
  <c r="D26" i="5" s="1"/>
  <c r="B25" i="5"/>
  <c r="B24" i="5"/>
  <c r="B23" i="5"/>
  <c r="B22" i="5"/>
  <c r="B21" i="5"/>
  <c r="C21" i="5" s="1"/>
  <c r="D21" i="5" s="1"/>
  <c r="B33" i="5"/>
  <c r="C33" i="5" s="1"/>
  <c r="D33" i="5" s="1"/>
  <c r="B30" i="5"/>
  <c r="C30" i="5" s="1"/>
  <c r="D30" i="5" s="1"/>
  <c r="B32" i="5"/>
  <c r="C32" i="5" s="1"/>
  <c r="D32" i="5" s="1"/>
  <c r="B14" i="5"/>
  <c r="B15" i="5" s="1"/>
  <c r="B16" i="5" s="1"/>
  <c r="B17" i="5" s="1"/>
  <c r="B29" i="5"/>
  <c r="G33" i="3"/>
  <c r="G11" i="3"/>
  <c r="G18" i="3"/>
  <c r="G30" i="3"/>
  <c r="G25" i="3"/>
  <c r="A28" i="6" l="1"/>
  <c r="A16" i="1"/>
  <c r="G17" i="4"/>
  <c r="E16" i="4"/>
  <c r="C15" i="4"/>
  <c r="G13" i="4"/>
  <c r="E12" i="4"/>
  <c r="C11" i="4"/>
  <c r="G9" i="4"/>
  <c r="E8" i="4"/>
  <c r="F17" i="4"/>
  <c r="D16" i="4"/>
  <c r="B15" i="4"/>
  <c r="F13" i="4"/>
  <c r="D12" i="4"/>
  <c r="B11" i="4"/>
  <c r="F9" i="4"/>
  <c r="D8" i="4"/>
  <c r="E17" i="4"/>
  <c r="C16" i="4"/>
  <c r="G14" i="4"/>
  <c r="E13" i="4"/>
  <c r="C12" i="4"/>
  <c r="G10" i="4"/>
  <c r="E9" i="4"/>
  <c r="C8" i="4"/>
  <c r="D17" i="4"/>
  <c r="B16" i="4"/>
  <c r="F14" i="4"/>
  <c r="D13" i="4"/>
  <c r="B12" i="4"/>
  <c r="F10" i="4"/>
  <c r="D9" i="4"/>
  <c r="B8" i="4"/>
  <c r="A7" i="1"/>
  <c r="A13" i="1" s="1"/>
  <c r="C14" i="4"/>
  <c r="C10" i="4"/>
  <c r="F16" i="4"/>
  <c r="B14" i="4"/>
  <c r="F12" i="4"/>
  <c r="B10" i="4"/>
  <c r="C17" i="4"/>
  <c r="G15" i="4"/>
  <c r="E14" i="4"/>
  <c r="C13" i="4"/>
  <c r="G11" i="4"/>
  <c r="E10" i="4"/>
  <c r="C9" i="4"/>
  <c r="B17" i="4"/>
  <c r="F15" i="4"/>
  <c r="D14" i="4"/>
  <c r="B13" i="4"/>
  <c r="F11" i="4"/>
  <c r="D10" i="4"/>
  <c r="B9" i="4"/>
  <c r="G16" i="4"/>
  <c r="E15" i="4"/>
  <c r="G12" i="4"/>
  <c r="E11" i="4"/>
  <c r="G8" i="4"/>
  <c r="D15" i="4"/>
  <c r="D11" i="4"/>
  <c r="F8" i="4"/>
  <c r="A11" i="1"/>
  <c r="A11" i="8"/>
  <c r="C10" i="8"/>
  <c r="B10" i="8"/>
  <c r="D10" i="8" s="1"/>
  <c r="E10" i="8" s="1"/>
  <c r="C11" i="8" l="1"/>
  <c r="B11" i="8"/>
  <c r="A12" i="8"/>
  <c r="A13" i="8" l="1"/>
  <c r="C12" i="8"/>
  <c r="B12" i="8"/>
  <c r="D11" i="8"/>
  <c r="E11" i="8" s="1"/>
  <c r="A14" i="8" l="1"/>
  <c r="B13" i="8"/>
  <c r="D13" i="8" s="1"/>
  <c r="E13" i="8" s="1"/>
  <c r="C13" i="8"/>
  <c r="D12" i="8"/>
  <c r="E12" i="8" s="1"/>
  <c r="C14" i="8" l="1"/>
  <c r="B14" i="8"/>
  <c r="D14" i="8" s="1"/>
  <c r="E14" i="8" s="1"/>
  <c r="A15" i="8"/>
  <c r="A16" i="8" l="1"/>
  <c r="C15" i="8"/>
  <c r="B15" i="8"/>
  <c r="D15" i="8" s="1"/>
  <c r="E15" i="8" s="1"/>
  <c r="B16" i="8" l="1"/>
  <c r="C16" i="8"/>
  <c r="A17" i="8"/>
  <c r="C17" i="8" l="1"/>
  <c r="B17" i="8"/>
  <c r="D17" i="8" s="1"/>
  <c r="E17" i="8" s="1"/>
  <c r="D16" i="8"/>
  <c r="E16" i="8" s="1"/>
  <c r="D7" i="1" s="1"/>
  <c r="A15" i="1" s="1"/>
</calcChain>
</file>

<file path=xl/sharedStrings.xml><?xml version="1.0" encoding="utf-8"?>
<sst xmlns="http://schemas.openxmlformats.org/spreadsheetml/2006/main" count="1000" uniqueCount="188">
  <si>
    <t>SALES DASHBOARD</t>
  </si>
  <si>
    <t>Total Sales</t>
  </si>
  <si>
    <t>Total Profit</t>
  </si>
  <si>
    <t>Profit Margin</t>
  </si>
  <si>
    <t>Avg Discount</t>
  </si>
  <si>
    <t>Customers</t>
  </si>
  <si>
    <t>High-Value Customers</t>
  </si>
  <si>
    <t>Top Customer</t>
  </si>
  <si>
    <t>Best Region</t>
  </si>
  <si>
    <t>Best Product</t>
  </si>
  <si>
    <t>Last Full-Month Growth</t>
  </si>
  <si>
    <t>Avg Order Value</t>
  </si>
  <si>
    <t>Profit vs Sales R²</t>
  </si>
  <si>
    <t>KEY INSIGHTS</t>
  </si>
  <si>
    <t>Customer_ID</t>
  </si>
  <si>
    <t>Customer_Name</t>
  </si>
  <si>
    <t>Region</t>
  </si>
  <si>
    <t>Product_Category</t>
  </si>
  <si>
    <t>Sales</t>
  </si>
  <si>
    <t>Quantity</t>
  </si>
  <si>
    <t>Discount</t>
  </si>
  <si>
    <t>Order_Date</t>
  </si>
  <si>
    <t>Profit</t>
  </si>
  <si>
    <t>Gross Sales (pre-discount)</t>
  </si>
  <si>
    <t>Cost (Sales-Profit)</t>
  </si>
  <si>
    <t>Timestamp (NOW)</t>
  </si>
  <si>
    <t>CUST019</t>
  </si>
  <si>
    <t>James Davis</t>
  </si>
  <si>
    <t>West</t>
  </si>
  <si>
    <t>Books</t>
  </si>
  <si>
    <t>CUST012</t>
  </si>
  <si>
    <t>Robert Anderson</t>
  </si>
  <si>
    <t>Clothing</t>
  </si>
  <si>
    <t>CUST017</t>
  </si>
  <si>
    <t>James Taylor</t>
  </si>
  <si>
    <t>East</t>
  </si>
  <si>
    <t>CUST005</t>
  </si>
  <si>
    <t>South</t>
  </si>
  <si>
    <t>Electronics</t>
  </si>
  <si>
    <t>CUST030</t>
  </si>
  <si>
    <t>James Wilson</t>
  </si>
  <si>
    <t>North</t>
  </si>
  <si>
    <t>CUST007</t>
  </si>
  <si>
    <t>Michael Anderson</t>
  </si>
  <si>
    <t>Furniture</t>
  </si>
  <si>
    <t>CUST001</t>
  </si>
  <si>
    <t>Linda Wilson</t>
  </si>
  <si>
    <t>CUST026</t>
  </si>
  <si>
    <t>Mary Davis</t>
  </si>
  <si>
    <t>CUST009</t>
  </si>
  <si>
    <t>Linda Jackson</t>
  </si>
  <si>
    <t>Central</t>
  </si>
  <si>
    <t>CUST010</t>
  </si>
  <si>
    <t>David Thomas</t>
  </si>
  <si>
    <t>CUST014</t>
  </si>
  <si>
    <t>Emma Davis</t>
  </si>
  <si>
    <t>Office Supplies</t>
  </si>
  <si>
    <t>CUST023</t>
  </si>
  <si>
    <t>CUST029</t>
  </si>
  <si>
    <t>David Smith</t>
  </si>
  <si>
    <t>Sarah Anderson</t>
  </si>
  <si>
    <t>CUST008</t>
  </si>
  <si>
    <t>Lisa Thomas</t>
  </si>
  <si>
    <t>CUST006</t>
  </si>
  <si>
    <t>Mary Jackson</t>
  </si>
  <si>
    <t>Lisa Davis</t>
  </si>
  <si>
    <t>CUST022</t>
  </si>
  <si>
    <t>Linda Brown</t>
  </si>
  <si>
    <t>John Brown</t>
  </si>
  <si>
    <t>CUST028</t>
  </si>
  <si>
    <t>Linda Taylor</t>
  </si>
  <si>
    <t>CUST025</t>
  </si>
  <si>
    <t>David Brown</t>
  </si>
  <si>
    <t>David Davis</t>
  </si>
  <si>
    <t>CUST021</t>
  </si>
  <si>
    <t>CUST015</t>
  </si>
  <si>
    <t>Mary Wilson</t>
  </si>
  <si>
    <t>CUST016</t>
  </si>
  <si>
    <t>Emma Wilson</t>
  </si>
  <si>
    <t>Linda Davis</t>
  </si>
  <si>
    <t>CUST011</t>
  </si>
  <si>
    <t>Sarah Davis</t>
  </si>
  <si>
    <t>CUST002</t>
  </si>
  <si>
    <t>Emma Taylor</t>
  </si>
  <si>
    <t>CUST003</t>
  </si>
  <si>
    <t>CUST020</t>
  </si>
  <si>
    <t>Linda Moore</t>
  </si>
  <si>
    <t>CUST024</t>
  </si>
  <si>
    <t>David Anderson</t>
  </si>
  <si>
    <t>CUST004</t>
  </si>
  <si>
    <t>CUST013</t>
  </si>
  <si>
    <t>CUST027</t>
  </si>
  <si>
    <t>CUST018</t>
  </si>
  <si>
    <t>Customer Totals - Top 10 Highlighted</t>
  </si>
  <si>
    <t>Green = Top 10 customers by Total Purchase (Conditional Formatting &gt; Top/Bottom Rules &gt; Top 10 Items). Customers are grouped by Customer_ID.</t>
  </si>
  <si>
    <t>High-value threshold:</t>
  </si>
  <si>
    <t>&lt;- change me (assumption: about the top 25% of customers)</t>
  </si>
  <si>
    <t>Orders</t>
  </si>
  <si>
    <t>Total Purchase</t>
  </si>
  <si>
    <t>Rank</t>
  </si>
  <si>
    <t>Unique Rank</t>
  </si>
  <si>
    <t>Tier</t>
  </si>
  <si>
    <t>High-Value Customers - INDEX / MATCH</t>
  </si>
  <si>
    <t>Top 10 list pulled with INDEX+MATCH on Customers!Unique Rank. Also use the Tier filter on the Customers sheet.</t>
  </si>
  <si>
    <t>High-value customers (count):</t>
  </si>
  <si>
    <t>Threshold used:</t>
  </si>
  <si>
    <t>Customer lookup (pick an ID in the yellow cell)</t>
  </si>
  <si>
    <t>Customer_ID:</t>
  </si>
  <si>
    <t>Orders:</t>
  </si>
  <si>
    <t>Total Purchase:</t>
  </si>
  <si>
    <t>Total Profit:</t>
  </si>
  <si>
    <t>Rank:</t>
  </si>
  <si>
    <t>Tier:</t>
  </si>
  <si>
    <t>What-If Analysis - Discount vs Total Profit</t>
  </si>
  <si>
    <t>Change the yellow cells. Profit = (Gross Sales x (1 - Discount) - Cost) x (1 + Volume change). Sales in your data is treated as net of discount.</t>
  </si>
  <si>
    <t>Gross Sales (before discount)</t>
  </si>
  <si>
    <t>Total Cost</t>
  </si>
  <si>
    <t>Current weighted discount</t>
  </si>
  <si>
    <t>Current Total Profit</t>
  </si>
  <si>
    <t>INPUTS</t>
  </si>
  <si>
    <t>New discount rate</t>
  </si>
  <si>
    <t>Volume elasticity (extra volume % per 1 pt of discount)</t>
  </si>
  <si>
    <t>Assumption (not from data): 2.0 means a 1-pt discount lifts volume 2%.</t>
  </si>
  <si>
    <t>RESULT</t>
  </si>
  <si>
    <t>Volume change</t>
  </si>
  <si>
    <t>Scenario Total Profit</t>
  </si>
  <si>
    <t>Change vs current profit</t>
  </si>
  <si>
    <t>% change in profit</t>
  </si>
  <si>
    <t>ONE-WAY TABLE: Discount rate -&gt; Profit (uses elasticity in B11)</t>
  </si>
  <si>
    <t>TWO-WAY TABLE: Discount (rows) x Elasticity (columns) -&gt; Profit</t>
  </si>
  <si>
    <t>Discount rate</t>
  </si>
  <si>
    <t>Change vs current</t>
  </si>
  <si>
    <t>Disc \ Elast</t>
  </si>
  <si>
    <t>Excel's own tools: Data &gt; What-If Analysis &gt; Data Table / Goal Seek / Scenario Manager (see Notes).</t>
  </si>
  <si>
    <t>Linear Regression: Profit (Y) vs Sales (X)</t>
  </si>
  <si>
    <t>Same layout as Data Analysis ToolPak &gt; Regression, built with live formulas. Y = Data!I (Profit), X = Data!E (Sales).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</si>
  <si>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</si>
  <si>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</si>
  <si>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</si>
  <si>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</si>
  <si>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</si>
  <si>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</si>
  <si>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</si>
  <si>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</si>
  <si>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</si>
  <si>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</si>
  <si>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</si>
  <si>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</si>
  <si>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</si>
  <si>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</si>
  <si>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</si>
  <si>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</si>
  <si>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</si>
  <si>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</si>
  <si>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</si>
  <si>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</si>
  <si>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Intercept</t>
  </si>
  <si>
    <t>Sales (X)</t>
  </si>
  <si>
    <t>Prediction</t>
  </si>
  <si>
    <t>If Sales =</t>
  </si>
  <si>
    <t>Predicted Profit =</t>
  </si>
  <si>
    <t>How to read it</t>
  </si>
  <si>
    <t>Descriptive Statistics</t>
  </si>
  <si>
    <t>Same output as Data Analysis ToolPak &gt; Descriptive Statistics (Summary statistics), via live formulas.</t>
  </si>
  <si>
    <t>Statistic</t>
  </si>
  <si>
    <t>Gross Sales</t>
  </si>
  <si>
    <t>Cost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</si>
  <si>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</si>
  <si>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</si>
  <si>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</si>
  <si>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</si>
  <si>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</si>
  <si>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</si>
  <si>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</si>
  <si>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</si>
  <si>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</si>
  <si>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</si>
  <si>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</si>
  <si>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</si>
  <si>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Monthly Sales Growth with Up/Down Arrows</t>
  </si>
  <si>
    <t>Arrow = IF(growth&gt;0,"▲",IF(growth&lt;0,"▼","▶")); the growth column also carries an Icon Set. Apr-2025 is a partial month (data ends 7 Apr).</t>
  </si>
  <si>
    <t>Month</t>
  </si>
  <si>
    <t>MoM Growth %</t>
  </si>
  <si>
    <t>Trend</t>
  </si>
  <si>
    <t>-</t>
  </si>
  <si>
    <t>Pivot-style Summary: Total Sales by Region x Product Category</t>
  </si>
  <si>
    <t>Formula-based cross-tab (SUMIFS) so it always refreshes. For a real PivotTable see the Notes sheet.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</si>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</sst>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%"/>
    <numFmt numFmtId="165" formatCode="dd\-mmm\-yyyy"/>
    <numFmt numFmtId="166" formatCode="dd\-mmm\-yyyy\ hh:mm:ss"/>
    <numFmt numFmtId="167" formatCode="0.0"/>
    <numFmt numFmtId="168" formatCode="#,##0;\(#,##0\);\-"/>
    <numFmt numFmtId="169" formatCode="0.0000"/>
    <numFmt numFmtId="170" formatCode="0.0E+00"/>
    <numFmt numFmtId="171" formatCode="mmm\-yyyy"/>
  </numFmts>
  <fonts count="14" x14ac:knownFonts="1">
    <font>
      <sz val="11"/>
      <color theme="1"/>
      <name val="Calibri"/>
      <family val="2"/>
      <charset val="1"/>
    </font>
    <font>
      <b/>
      <sz val="18"/>
      <color rgb="FF1F3864"/>
      <name val="Arial"/>
      <family val="2"/>
    </font>
    <font>
      <i/>
      <sz val="9"/>
      <color rgb="FF595959"/>
      <name val="Arial"/>
      <family val="2"/>
    </font>
    <font>
      <b/>
      <sz val="9"/>
      <color rgb="FFFFFFFF"/>
      <name val="Arial"/>
      <family val="2"/>
    </font>
    <font>
      <b/>
      <sz val="14"/>
      <color rgb="FF1F3864"/>
      <name val="Arial"/>
      <family val="2"/>
    </font>
    <font>
      <b/>
      <sz val="12"/>
      <color rgb="FF1F3864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color rgb="FF0000FF"/>
      <name val="Arial"/>
      <family val="2"/>
    </font>
    <font>
      <sz val="10"/>
      <color rgb="FF008000"/>
      <name val="Arial"/>
      <family val="2"/>
    </font>
    <font>
      <b/>
      <sz val="11"/>
      <color rgb="FF1F3864"/>
      <name val="Arial"/>
      <family val="2"/>
    </font>
    <font>
      <sz val="10"/>
      <color rgb="FF0000FF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3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333399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/>
    </xf>
    <xf numFmtId="3" fontId="4" fillId="3" borderId="0" xfId="0" applyNumberFormat="1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1" fontId="4" fillId="3" borderId="0" xfId="0" applyNumberFormat="1" applyFont="1" applyFill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/>
    </xf>
    <xf numFmtId="2" fontId="4" fillId="3" borderId="0" xfId="0" applyNumberFormat="1" applyFont="1" applyFill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4" fontId="6" fillId="0" borderId="1" xfId="0" applyNumberFormat="1" applyFont="1" applyBorder="1"/>
    <xf numFmtId="0" fontId="8" fillId="0" borderId="0" xfId="0" applyFont="1"/>
    <xf numFmtId="3" fontId="9" fillId="4" borderId="1" xfId="0" applyNumberFormat="1" applyFont="1" applyFill="1" applyBorder="1"/>
    <xf numFmtId="164" fontId="6" fillId="0" borderId="1" xfId="0" applyNumberFormat="1" applyFont="1" applyBorder="1"/>
    <xf numFmtId="3" fontId="10" fillId="0" borderId="0" xfId="0" applyNumberFormat="1" applyFont="1"/>
    <xf numFmtId="0" fontId="11" fillId="0" borderId="0" xfId="0" applyFont="1"/>
    <xf numFmtId="0" fontId="9" fillId="4" borderId="1" xfId="0" applyFont="1" applyFill="1" applyBorder="1"/>
    <xf numFmtId="1" fontId="6" fillId="0" borderId="1" xfId="0" applyNumberFormat="1" applyFont="1" applyBorder="1"/>
    <xf numFmtId="3" fontId="6" fillId="0" borderId="1" xfId="0" applyNumberFormat="1" applyFont="1" applyBorder="1"/>
    <xf numFmtId="164" fontId="9" fillId="4" borderId="1" xfId="0" applyNumberFormat="1" applyFont="1" applyFill="1" applyBorder="1"/>
    <xf numFmtId="167" fontId="9" fillId="4" borderId="1" xfId="0" applyNumberFormat="1" applyFont="1" applyFill="1" applyBorder="1"/>
    <xf numFmtId="168" fontId="6" fillId="0" borderId="1" xfId="0" applyNumberFormat="1" applyFont="1" applyBorder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164" fontId="12" fillId="0" borderId="1" xfId="0" applyNumberFormat="1" applyFont="1" applyBorder="1"/>
    <xf numFmtId="9" fontId="9" fillId="0" borderId="1" xfId="0" applyNumberFormat="1" applyFont="1" applyBorder="1"/>
    <xf numFmtId="169" fontId="6" fillId="0" borderId="1" xfId="0" applyNumberFormat="1" applyFont="1" applyBorder="1"/>
    <xf numFmtId="0" fontId="8" fillId="0" borderId="1" xfId="0" applyFont="1" applyBorder="1"/>
    <xf numFmtId="170" fontId="6" fillId="0" borderId="1" xfId="0" applyNumberFormat="1" applyFont="1" applyBorder="1"/>
    <xf numFmtId="169" fontId="8" fillId="0" borderId="1" xfId="0" applyNumberFormat="1" applyFont="1" applyBorder="1"/>
    <xf numFmtId="3" fontId="8" fillId="0" borderId="1" xfId="0" applyNumberFormat="1" applyFont="1" applyBorder="1"/>
    <xf numFmtId="3" fontId="8" fillId="3" borderId="1" xfId="0" applyNumberFormat="1" applyFont="1" applyFill="1" applyBorder="1"/>
    <xf numFmtId="0" fontId="1" fillId="5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7" fillId="6" borderId="3" xfId="0" applyFont="1" applyFill="1" applyBorder="1" applyAlignment="1">
      <alignment horizontal="center" vertical="center" wrapText="1"/>
    </xf>
    <xf numFmtId="0" fontId="6" fillId="0" borderId="2" xfId="0" applyFont="1" applyBorder="1"/>
    <xf numFmtId="4" fontId="6" fillId="0" borderId="2" xfId="0" applyNumberFormat="1" applyFont="1" applyBorder="1"/>
    <xf numFmtId="164" fontId="6" fillId="0" borderId="2" xfId="0" applyNumberFormat="1" applyFont="1" applyBorder="1"/>
    <xf numFmtId="9" fontId="6" fillId="0" borderId="2" xfId="0" applyNumberFormat="1" applyFont="1" applyBorder="1"/>
    <xf numFmtId="165" fontId="6" fillId="0" borderId="2" xfId="0" applyNumberFormat="1" applyFont="1" applyBorder="1"/>
    <xf numFmtId="166" fontId="6" fillId="0" borderId="2" xfId="0" applyNumberFormat="1" applyFont="1" applyBorder="1"/>
    <xf numFmtId="0" fontId="13" fillId="6" borderId="3" xfId="0" applyFont="1" applyFill="1" applyBorder="1" applyAlignment="1">
      <alignment horizontal="center" vertical="center" wrapText="1"/>
    </xf>
    <xf numFmtId="0" fontId="8" fillId="0" borderId="2" xfId="0" applyFont="1" applyBorder="1"/>
    <xf numFmtId="169" fontId="6" fillId="0" borderId="2" xfId="0" applyNumberFormat="1" applyFont="1" applyBorder="1"/>
    <xf numFmtId="2" fontId="6" fillId="0" borderId="2" xfId="0" applyNumberFormat="1" applyFont="1" applyBorder="1"/>
    <xf numFmtId="1" fontId="6" fillId="0" borderId="2" xfId="0" applyNumberFormat="1" applyFont="1" applyBorder="1"/>
    <xf numFmtId="0" fontId="7" fillId="2" borderId="3" xfId="0" applyFont="1" applyFill="1" applyBorder="1" applyAlignment="1">
      <alignment horizontal="center" vertical="center" wrapText="1"/>
    </xf>
    <xf numFmtId="171" fontId="6" fillId="0" borderId="2" xfId="0" applyNumberFormat="1" applyFont="1" applyBorder="1"/>
    <xf numFmtId="164" fontId="6" fillId="0" borderId="2" xfId="0" applyNumberFormat="1" applyFont="1" applyBorder="1" applyAlignment="1">
      <alignment horizontal="right"/>
    </xf>
    <xf numFmtId="0" fontId="6" fillId="0" borderId="2" xfId="0" applyFont="1" applyBorder="1" applyAlignment="1">
      <alignment horizontal="center"/>
    </xf>
  </cellXfs>
  <cellStyles count="1">
    <cellStyle name="Normal" xfId="0" builtinId="0"/>
  </cellStyles>
  <dxfs count="5">
    <dxf>
      <font>
        <b/>
        <color rgb="FFFF0000"/>
      </font>
    </dxf>
    <dxf>
      <font>
        <b/>
        <color rgb="FF00B050"/>
      </font>
    </dxf>
    <dxf>
      <font>
        <b/>
      </font>
      <fill>
        <patternFill>
          <bgColor rgb="FFFFF2C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2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4A7EBB"/>
      <rgbColor rgb="FF4BACC6"/>
      <rgbColor rgb="FF9BBB59"/>
      <rgbColor rgb="FFFFCC00"/>
      <rgbColor rgb="FFFF9900"/>
      <rgbColor rgb="FFFF6600"/>
      <rgbColor rgb="FF8064A2"/>
      <rgbColor rgb="FF4F81BD"/>
      <rgbColor rgb="FF1F3864"/>
      <rgbColor rgb="FF00B050"/>
      <rgbColor rgb="FF006100"/>
      <rgbColor rgb="FF333300"/>
      <rgbColor rgb="FF993300"/>
      <rgbColor rgb="FF993366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Total Profit vs Discount Rate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'What-If'!$C$20</c:f>
              <c:strCache>
                <c:ptCount val="1"/>
                <c:pt idx="0">
                  <c:v>Total Profit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'What-If'!$A$21:$A$33</c:f>
              <c:numCache>
                <c:formatCode>0.0%</c:formatCode>
                <c:ptCount val="13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</c:numCache>
            </c:numRef>
          </c:cat>
          <c:val>
            <c:numRef>
              <c:f>'What-If'!$C$21:$C$33</c:f>
              <c:numCache>
                <c:formatCode>#,##0;\(#,##0\);\-</c:formatCode>
                <c:ptCount val="13"/>
                <c:pt idx="0">
                  <c:v>72035.901238997205</c:v>
                </c:pt>
                <c:pt idx="1">
                  <c:v>72007.981294962345</c:v>
                </c:pt>
                <c:pt idx="2">
                  <c:v>71434.993365979477</c:v>
                </c:pt>
                <c:pt idx="3">
                  <c:v>70316.937452048704</c:v>
                </c:pt>
                <c:pt idx="4">
                  <c:v>68653.813553169894</c:v>
                </c:pt>
                <c:pt idx="5">
                  <c:v>66445.621669343149</c:v>
                </c:pt>
                <c:pt idx="6">
                  <c:v>63692.361800568404</c:v>
                </c:pt>
                <c:pt idx="7">
                  <c:v>60394.033946845717</c:v>
                </c:pt>
                <c:pt idx="8">
                  <c:v>56550.638108175088</c:v>
                </c:pt>
                <c:pt idx="9">
                  <c:v>52162.174284556429</c:v>
                </c:pt>
                <c:pt idx="10">
                  <c:v>47228.642475989836</c:v>
                </c:pt>
                <c:pt idx="11">
                  <c:v>41750.042682475229</c:v>
                </c:pt>
                <c:pt idx="12">
                  <c:v>35726.374904012693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BC7-47D6-A327-2BC7D47D14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5315576"/>
        <c:axId val="50529575"/>
      </c:lineChart>
      <c:catAx>
        <c:axId val="7531557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Discount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529575"/>
        <c:crosses val="autoZero"/>
        <c:auto val="1"/>
        <c:lblAlgn val="ctr"/>
        <c:lblOffset val="100"/>
        <c:noMultiLvlLbl val="0"/>
      </c:catAx>
      <c:valAx>
        <c:axId val="505295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Profit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31557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Profit vs Sales (with trendline)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Orders</c:v>
          </c:tx>
          <c:spPr>
            <a:ln w="47520">
              <a:noFill/>
            </a:ln>
          </c:spPr>
          <c:marker>
            <c:symbol val="circle"/>
            <c:size val="6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Data!$E$2:$E$201</c:f>
              <c:numCache>
                <c:formatCode>#,##0.00</c:formatCode>
                <c:ptCount val="200"/>
                <c:pt idx="0">
                  <c:v>1036.0899999999999</c:v>
                </c:pt>
                <c:pt idx="1">
                  <c:v>1101.28</c:v>
                </c:pt>
                <c:pt idx="2">
                  <c:v>713.34</c:v>
                </c:pt>
                <c:pt idx="3">
                  <c:v>760.93</c:v>
                </c:pt>
                <c:pt idx="4">
                  <c:v>847</c:v>
                </c:pt>
                <c:pt idx="5">
                  <c:v>965.64</c:v>
                </c:pt>
                <c:pt idx="6">
                  <c:v>1317.53</c:v>
                </c:pt>
                <c:pt idx="7">
                  <c:v>1074.47</c:v>
                </c:pt>
                <c:pt idx="8">
                  <c:v>501.54</c:v>
                </c:pt>
                <c:pt idx="9">
                  <c:v>737.31</c:v>
                </c:pt>
                <c:pt idx="10">
                  <c:v>1572.82</c:v>
                </c:pt>
                <c:pt idx="11">
                  <c:v>1343.13</c:v>
                </c:pt>
                <c:pt idx="12">
                  <c:v>1191.58</c:v>
                </c:pt>
                <c:pt idx="13">
                  <c:v>822.28</c:v>
                </c:pt>
                <c:pt idx="14">
                  <c:v>521.66999999999996</c:v>
                </c:pt>
                <c:pt idx="15">
                  <c:v>1502.93</c:v>
                </c:pt>
                <c:pt idx="16">
                  <c:v>877.58</c:v>
                </c:pt>
                <c:pt idx="17">
                  <c:v>636.70000000000005</c:v>
                </c:pt>
                <c:pt idx="18">
                  <c:v>1506.14</c:v>
                </c:pt>
                <c:pt idx="19">
                  <c:v>645.02</c:v>
                </c:pt>
                <c:pt idx="20">
                  <c:v>953.3</c:v>
                </c:pt>
                <c:pt idx="21">
                  <c:v>388.56</c:v>
                </c:pt>
                <c:pt idx="22">
                  <c:v>743.17</c:v>
                </c:pt>
                <c:pt idx="23">
                  <c:v>706.37</c:v>
                </c:pt>
                <c:pt idx="24">
                  <c:v>925.31</c:v>
                </c:pt>
                <c:pt idx="25">
                  <c:v>1173.1199999999999</c:v>
                </c:pt>
                <c:pt idx="26">
                  <c:v>675.54</c:v>
                </c:pt>
                <c:pt idx="27">
                  <c:v>939.09</c:v>
                </c:pt>
                <c:pt idx="28">
                  <c:v>983.34</c:v>
                </c:pt>
                <c:pt idx="29">
                  <c:v>801.21</c:v>
                </c:pt>
                <c:pt idx="30">
                  <c:v>1450.71</c:v>
                </c:pt>
                <c:pt idx="31">
                  <c:v>1023.21</c:v>
                </c:pt>
                <c:pt idx="32">
                  <c:v>853.72</c:v>
                </c:pt>
                <c:pt idx="33">
                  <c:v>967.89</c:v>
                </c:pt>
                <c:pt idx="34">
                  <c:v>1200.9000000000001</c:v>
                </c:pt>
                <c:pt idx="35">
                  <c:v>472.38</c:v>
                </c:pt>
                <c:pt idx="36">
                  <c:v>840.92</c:v>
                </c:pt>
                <c:pt idx="37">
                  <c:v>1410.06</c:v>
                </c:pt>
                <c:pt idx="38">
                  <c:v>773.09</c:v>
                </c:pt>
                <c:pt idx="39">
                  <c:v>580.42999999999995</c:v>
                </c:pt>
                <c:pt idx="40">
                  <c:v>1151.21</c:v>
                </c:pt>
                <c:pt idx="41">
                  <c:v>1025.98</c:v>
                </c:pt>
                <c:pt idx="42">
                  <c:v>556.41999999999996</c:v>
                </c:pt>
                <c:pt idx="43">
                  <c:v>840.85</c:v>
                </c:pt>
                <c:pt idx="44">
                  <c:v>1227.25</c:v>
                </c:pt>
                <c:pt idx="45">
                  <c:v>856.7</c:v>
                </c:pt>
                <c:pt idx="46">
                  <c:v>1225.42</c:v>
                </c:pt>
                <c:pt idx="47">
                  <c:v>1001.57</c:v>
                </c:pt>
                <c:pt idx="48">
                  <c:v>1186.8499999999999</c:v>
                </c:pt>
                <c:pt idx="49">
                  <c:v>775.45</c:v>
                </c:pt>
                <c:pt idx="50">
                  <c:v>1021.47</c:v>
                </c:pt>
                <c:pt idx="51">
                  <c:v>1226.6199999999999</c:v>
                </c:pt>
                <c:pt idx="52">
                  <c:v>1086.93</c:v>
                </c:pt>
                <c:pt idx="53">
                  <c:v>942.9</c:v>
                </c:pt>
                <c:pt idx="54">
                  <c:v>818.8</c:v>
                </c:pt>
                <c:pt idx="55">
                  <c:v>919.04</c:v>
                </c:pt>
                <c:pt idx="56">
                  <c:v>973.26</c:v>
                </c:pt>
                <c:pt idx="57">
                  <c:v>741.61</c:v>
                </c:pt>
                <c:pt idx="58">
                  <c:v>1248.82</c:v>
                </c:pt>
                <c:pt idx="59">
                  <c:v>1360.36</c:v>
                </c:pt>
                <c:pt idx="60">
                  <c:v>1383.3</c:v>
                </c:pt>
                <c:pt idx="61">
                  <c:v>488.99</c:v>
                </c:pt>
                <c:pt idx="62">
                  <c:v>933.71</c:v>
                </c:pt>
                <c:pt idx="63">
                  <c:v>1005.53</c:v>
                </c:pt>
                <c:pt idx="64">
                  <c:v>1100.0999999999999</c:v>
                </c:pt>
                <c:pt idx="65">
                  <c:v>1034.7</c:v>
                </c:pt>
                <c:pt idx="66">
                  <c:v>876.44</c:v>
                </c:pt>
                <c:pt idx="67">
                  <c:v>1371.34</c:v>
                </c:pt>
                <c:pt idx="68">
                  <c:v>1020.26</c:v>
                </c:pt>
                <c:pt idx="69">
                  <c:v>804.81</c:v>
                </c:pt>
                <c:pt idx="70">
                  <c:v>608.66</c:v>
                </c:pt>
                <c:pt idx="71">
                  <c:v>981.2</c:v>
                </c:pt>
                <c:pt idx="72">
                  <c:v>539.77</c:v>
                </c:pt>
                <c:pt idx="73">
                  <c:v>804.45</c:v>
                </c:pt>
                <c:pt idx="74">
                  <c:v>1526.6</c:v>
                </c:pt>
                <c:pt idx="75">
                  <c:v>1215.26</c:v>
                </c:pt>
                <c:pt idx="76">
                  <c:v>1261.3399999999999</c:v>
                </c:pt>
                <c:pt idx="77">
                  <c:v>518.07000000000005</c:v>
                </c:pt>
                <c:pt idx="78">
                  <c:v>1111.3399999999999</c:v>
                </c:pt>
                <c:pt idx="79">
                  <c:v>1291.47</c:v>
                </c:pt>
                <c:pt idx="80">
                  <c:v>679.71</c:v>
                </c:pt>
                <c:pt idx="81">
                  <c:v>1143.69</c:v>
                </c:pt>
                <c:pt idx="82">
                  <c:v>790.08</c:v>
                </c:pt>
                <c:pt idx="83">
                  <c:v>1070.68</c:v>
                </c:pt>
                <c:pt idx="84">
                  <c:v>1168.8900000000001</c:v>
                </c:pt>
                <c:pt idx="85">
                  <c:v>1335.87</c:v>
                </c:pt>
                <c:pt idx="86">
                  <c:v>873.7</c:v>
                </c:pt>
                <c:pt idx="87">
                  <c:v>1443.98</c:v>
                </c:pt>
                <c:pt idx="88">
                  <c:v>1154.33</c:v>
                </c:pt>
                <c:pt idx="89">
                  <c:v>1264.49</c:v>
                </c:pt>
                <c:pt idx="90">
                  <c:v>1101.55</c:v>
                </c:pt>
                <c:pt idx="91">
                  <c:v>727.73</c:v>
                </c:pt>
                <c:pt idx="92">
                  <c:v>875.41</c:v>
                </c:pt>
                <c:pt idx="93">
                  <c:v>1158.94</c:v>
                </c:pt>
                <c:pt idx="94">
                  <c:v>966.3</c:v>
                </c:pt>
                <c:pt idx="95">
                  <c:v>917.48</c:v>
                </c:pt>
                <c:pt idx="96">
                  <c:v>1172.97</c:v>
                </c:pt>
                <c:pt idx="97">
                  <c:v>1205.82</c:v>
                </c:pt>
                <c:pt idx="98">
                  <c:v>826.93</c:v>
                </c:pt>
                <c:pt idx="99">
                  <c:v>902.19</c:v>
                </c:pt>
                <c:pt idx="100">
                  <c:v>585.97</c:v>
                </c:pt>
                <c:pt idx="101">
                  <c:v>990.19</c:v>
                </c:pt>
                <c:pt idx="102">
                  <c:v>1014.09</c:v>
                </c:pt>
                <c:pt idx="103">
                  <c:v>925.29</c:v>
                </c:pt>
                <c:pt idx="104">
                  <c:v>1286.54</c:v>
                </c:pt>
                <c:pt idx="105">
                  <c:v>961.62</c:v>
                </c:pt>
                <c:pt idx="106">
                  <c:v>1081.1400000000001</c:v>
                </c:pt>
                <c:pt idx="107">
                  <c:v>1923.66</c:v>
                </c:pt>
                <c:pt idx="108">
                  <c:v>728.71</c:v>
                </c:pt>
                <c:pt idx="109">
                  <c:v>1301.8900000000001</c:v>
                </c:pt>
                <c:pt idx="110">
                  <c:v>980.18</c:v>
                </c:pt>
                <c:pt idx="111">
                  <c:v>697.57</c:v>
                </c:pt>
                <c:pt idx="112">
                  <c:v>1193.6099999999999</c:v>
                </c:pt>
                <c:pt idx="113">
                  <c:v>771.02</c:v>
                </c:pt>
                <c:pt idx="114">
                  <c:v>661.09</c:v>
                </c:pt>
                <c:pt idx="115">
                  <c:v>688.83</c:v>
                </c:pt>
                <c:pt idx="116">
                  <c:v>1249.0999999999999</c:v>
                </c:pt>
                <c:pt idx="117">
                  <c:v>1014.22</c:v>
                </c:pt>
                <c:pt idx="118">
                  <c:v>1010.58</c:v>
                </c:pt>
                <c:pt idx="119">
                  <c:v>957.29</c:v>
                </c:pt>
                <c:pt idx="120">
                  <c:v>1077.92</c:v>
                </c:pt>
                <c:pt idx="121">
                  <c:v>1163.01</c:v>
                </c:pt>
                <c:pt idx="122">
                  <c:v>1014.56</c:v>
                </c:pt>
                <c:pt idx="123">
                  <c:v>718.04</c:v>
                </c:pt>
                <c:pt idx="124">
                  <c:v>1277.8499999999999</c:v>
                </c:pt>
                <c:pt idx="125">
                  <c:v>706.73</c:v>
                </c:pt>
                <c:pt idx="126">
                  <c:v>1410.59</c:v>
                </c:pt>
                <c:pt idx="127">
                  <c:v>1350.33</c:v>
                </c:pt>
                <c:pt idx="128">
                  <c:v>919.18</c:v>
                </c:pt>
                <c:pt idx="129">
                  <c:v>258.51</c:v>
                </c:pt>
                <c:pt idx="130">
                  <c:v>1213.48</c:v>
                </c:pt>
                <c:pt idx="131">
                  <c:v>1150.28</c:v>
                </c:pt>
                <c:pt idx="132">
                  <c:v>853.86</c:v>
                </c:pt>
                <c:pt idx="133">
                  <c:v>1061.04</c:v>
                </c:pt>
                <c:pt idx="134">
                  <c:v>894.55</c:v>
                </c:pt>
                <c:pt idx="135">
                  <c:v>833.91</c:v>
                </c:pt>
                <c:pt idx="136">
                  <c:v>820.19</c:v>
                </c:pt>
                <c:pt idx="137">
                  <c:v>511.74</c:v>
                </c:pt>
                <c:pt idx="138">
                  <c:v>806.03</c:v>
                </c:pt>
                <c:pt idx="139">
                  <c:v>1432.47</c:v>
                </c:pt>
                <c:pt idx="140">
                  <c:v>1488.58</c:v>
                </c:pt>
                <c:pt idx="141">
                  <c:v>1231.26</c:v>
                </c:pt>
                <c:pt idx="142">
                  <c:v>1161.67</c:v>
                </c:pt>
                <c:pt idx="143">
                  <c:v>388.23</c:v>
                </c:pt>
                <c:pt idx="144">
                  <c:v>1589.42</c:v>
                </c:pt>
                <c:pt idx="145">
                  <c:v>336.66</c:v>
                </c:pt>
                <c:pt idx="146">
                  <c:v>1353.79</c:v>
                </c:pt>
                <c:pt idx="147">
                  <c:v>662.61</c:v>
                </c:pt>
                <c:pt idx="148">
                  <c:v>309.42</c:v>
                </c:pt>
                <c:pt idx="149">
                  <c:v>884.63</c:v>
                </c:pt>
                <c:pt idx="150">
                  <c:v>745.05</c:v>
                </c:pt>
                <c:pt idx="151">
                  <c:v>870.23</c:v>
                </c:pt>
                <c:pt idx="152">
                  <c:v>862.19</c:v>
                </c:pt>
                <c:pt idx="153">
                  <c:v>1171.18</c:v>
                </c:pt>
                <c:pt idx="154">
                  <c:v>1054.56</c:v>
                </c:pt>
                <c:pt idx="155">
                  <c:v>1681.21</c:v>
                </c:pt>
                <c:pt idx="156">
                  <c:v>379.77</c:v>
                </c:pt>
                <c:pt idx="157">
                  <c:v>1076.33</c:v>
                </c:pt>
                <c:pt idx="158">
                  <c:v>1250.71</c:v>
                </c:pt>
                <c:pt idx="159">
                  <c:v>1118.3399999999999</c:v>
                </c:pt>
                <c:pt idx="160">
                  <c:v>1622.62</c:v>
                </c:pt>
                <c:pt idx="161">
                  <c:v>640.64</c:v>
                </c:pt>
                <c:pt idx="162">
                  <c:v>585.16</c:v>
                </c:pt>
                <c:pt idx="163">
                  <c:v>1109.98</c:v>
                </c:pt>
                <c:pt idx="164">
                  <c:v>1098.08</c:v>
                </c:pt>
                <c:pt idx="165">
                  <c:v>827.25</c:v>
                </c:pt>
                <c:pt idx="166">
                  <c:v>741.88</c:v>
                </c:pt>
                <c:pt idx="167">
                  <c:v>1311.26</c:v>
                </c:pt>
                <c:pt idx="168">
                  <c:v>573.32000000000005</c:v>
                </c:pt>
                <c:pt idx="169">
                  <c:v>1115.22</c:v>
                </c:pt>
                <c:pt idx="170">
                  <c:v>845.84</c:v>
                </c:pt>
                <c:pt idx="171">
                  <c:v>1029.8</c:v>
                </c:pt>
                <c:pt idx="172">
                  <c:v>1189.83</c:v>
                </c:pt>
                <c:pt idx="173">
                  <c:v>704.28</c:v>
                </c:pt>
                <c:pt idx="174">
                  <c:v>1618.22</c:v>
                </c:pt>
                <c:pt idx="175">
                  <c:v>1014.43</c:v>
                </c:pt>
                <c:pt idx="176">
                  <c:v>826.97</c:v>
                </c:pt>
                <c:pt idx="177">
                  <c:v>1022.23</c:v>
                </c:pt>
                <c:pt idx="178">
                  <c:v>1099.69</c:v>
                </c:pt>
                <c:pt idx="179">
                  <c:v>710.52</c:v>
                </c:pt>
                <c:pt idx="180">
                  <c:v>499.18</c:v>
                </c:pt>
                <c:pt idx="181">
                  <c:v>1064.19</c:v>
                </c:pt>
                <c:pt idx="182">
                  <c:v>438.76</c:v>
                </c:pt>
                <c:pt idx="183">
                  <c:v>864.98</c:v>
                </c:pt>
                <c:pt idx="184">
                  <c:v>984.93</c:v>
                </c:pt>
                <c:pt idx="185">
                  <c:v>1493.49</c:v>
                </c:pt>
                <c:pt idx="186">
                  <c:v>689.43</c:v>
                </c:pt>
                <c:pt idx="187">
                  <c:v>682.24</c:v>
                </c:pt>
                <c:pt idx="188">
                  <c:v>458.54</c:v>
                </c:pt>
                <c:pt idx="189">
                  <c:v>1184.25</c:v>
                </c:pt>
                <c:pt idx="190">
                  <c:v>762.14</c:v>
                </c:pt>
                <c:pt idx="191">
                  <c:v>750.71</c:v>
                </c:pt>
                <c:pt idx="192">
                  <c:v>1456.94</c:v>
                </c:pt>
                <c:pt idx="193">
                  <c:v>1093.3800000000001</c:v>
                </c:pt>
                <c:pt idx="194">
                  <c:v>934.27</c:v>
                </c:pt>
                <c:pt idx="195">
                  <c:v>1465.35</c:v>
                </c:pt>
                <c:pt idx="196">
                  <c:v>740.8</c:v>
                </c:pt>
                <c:pt idx="197">
                  <c:v>545.44000000000005</c:v>
                </c:pt>
                <c:pt idx="198">
                  <c:v>997.61</c:v>
                </c:pt>
                <c:pt idx="199">
                  <c:v>928.32</c:v>
                </c:pt>
              </c:numCache>
            </c:numRef>
          </c:xVal>
          <c:yVal>
            <c:numRef>
              <c:f>Data!$I$2:$I$201</c:f>
              <c:numCache>
                <c:formatCode>#,##0.00</c:formatCode>
                <c:ptCount val="200"/>
                <c:pt idx="0">
                  <c:v>331.55</c:v>
                </c:pt>
                <c:pt idx="1">
                  <c:v>440.51</c:v>
                </c:pt>
                <c:pt idx="2">
                  <c:v>285.33999999999997</c:v>
                </c:pt>
                <c:pt idx="3">
                  <c:v>161.69999999999999</c:v>
                </c:pt>
                <c:pt idx="4">
                  <c:v>271.04000000000002</c:v>
                </c:pt>
                <c:pt idx="5">
                  <c:v>304.18</c:v>
                </c:pt>
                <c:pt idx="6">
                  <c:v>312.91000000000003</c:v>
                </c:pt>
                <c:pt idx="7">
                  <c:v>300.85000000000002</c:v>
                </c:pt>
                <c:pt idx="8">
                  <c:v>190.59</c:v>
                </c:pt>
                <c:pt idx="9">
                  <c:v>350.22</c:v>
                </c:pt>
                <c:pt idx="10">
                  <c:v>672.38</c:v>
                </c:pt>
                <c:pt idx="11">
                  <c:v>456.66</c:v>
                </c:pt>
                <c:pt idx="12">
                  <c:v>452.8</c:v>
                </c:pt>
                <c:pt idx="13">
                  <c:v>273.41000000000003</c:v>
                </c:pt>
                <c:pt idx="14">
                  <c:v>155.19999999999999</c:v>
                </c:pt>
                <c:pt idx="15">
                  <c:v>300.58999999999997</c:v>
                </c:pt>
                <c:pt idx="16">
                  <c:v>298.38</c:v>
                </c:pt>
                <c:pt idx="17">
                  <c:v>203.74</c:v>
                </c:pt>
                <c:pt idx="18">
                  <c:v>481.96</c:v>
                </c:pt>
                <c:pt idx="19">
                  <c:v>161.26</c:v>
                </c:pt>
                <c:pt idx="20">
                  <c:v>476.65</c:v>
                </c:pt>
                <c:pt idx="21">
                  <c:v>82.57</c:v>
                </c:pt>
                <c:pt idx="22">
                  <c:v>297.27</c:v>
                </c:pt>
                <c:pt idx="23">
                  <c:v>176.59</c:v>
                </c:pt>
                <c:pt idx="24">
                  <c:v>374.75</c:v>
                </c:pt>
                <c:pt idx="25">
                  <c:v>293.27999999999997</c:v>
                </c:pt>
                <c:pt idx="26">
                  <c:v>236.44</c:v>
                </c:pt>
                <c:pt idx="27">
                  <c:v>356.85</c:v>
                </c:pt>
                <c:pt idx="28">
                  <c:v>398.25</c:v>
                </c:pt>
                <c:pt idx="29">
                  <c:v>160.24</c:v>
                </c:pt>
                <c:pt idx="30">
                  <c:v>326.41000000000003</c:v>
                </c:pt>
                <c:pt idx="31">
                  <c:v>388.82</c:v>
                </c:pt>
                <c:pt idx="32">
                  <c:v>253.98</c:v>
                </c:pt>
                <c:pt idx="33">
                  <c:v>217.78</c:v>
                </c:pt>
                <c:pt idx="34">
                  <c:v>513.38</c:v>
                </c:pt>
                <c:pt idx="35">
                  <c:v>151.16</c:v>
                </c:pt>
                <c:pt idx="36">
                  <c:v>359.49</c:v>
                </c:pt>
                <c:pt idx="37">
                  <c:v>468.84</c:v>
                </c:pt>
                <c:pt idx="38">
                  <c:v>229.99</c:v>
                </c:pt>
                <c:pt idx="39">
                  <c:v>197.35</c:v>
                </c:pt>
                <c:pt idx="40">
                  <c:v>414.44</c:v>
                </c:pt>
                <c:pt idx="41">
                  <c:v>369.35</c:v>
                </c:pt>
                <c:pt idx="42">
                  <c:v>212.83</c:v>
                </c:pt>
                <c:pt idx="43">
                  <c:v>302.70999999999998</c:v>
                </c:pt>
                <c:pt idx="44">
                  <c:v>365.11</c:v>
                </c:pt>
                <c:pt idx="45">
                  <c:v>214.18</c:v>
                </c:pt>
                <c:pt idx="46">
                  <c:v>468.72</c:v>
                </c:pt>
                <c:pt idx="47">
                  <c:v>450.71</c:v>
                </c:pt>
                <c:pt idx="48">
                  <c:v>332.32</c:v>
                </c:pt>
                <c:pt idx="49">
                  <c:v>174.48</c:v>
                </c:pt>
                <c:pt idx="50">
                  <c:v>242.6</c:v>
                </c:pt>
                <c:pt idx="51">
                  <c:v>551.98</c:v>
                </c:pt>
                <c:pt idx="52">
                  <c:v>380.43</c:v>
                </c:pt>
                <c:pt idx="53">
                  <c:v>339.44</c:v>
                </c:pt>
                <c:pt idx="54">
                  <c:v>173.99</c:v>
                </c:pt>
                <c:pt idx="55">
                  <c:v>257.33</c:v>
                </c:pt>
                <c:pt idx="56">
                  <c:v>389.3</c:v>
                </c:pt>
                <c:pt idx="57">
                  <c:v>148.32</c:v>
                </c:pt>
                <c:pt idx="58">
                  <c:v>449.58</c:v>
                </c:pt>
                <c:pt idx="59">
                  <c:v>680.18</c:v>
                </c:pt>
                <c:pt idx="60">
                  <c:v>497.99</c:v>
                </c:pt>
                <c:pt idx="61">
                  <c:v>220.05</c:v>
                </c:pt>
                <c:pt idx="62">
                  <c:v>294.12</c:v>
                </c:pt>
                <c:pt idx="63">
                  <c:v>201.11</c:v>
                </c:pt>
                <c:pt idx="64">
                  <c:v>261.27</c:v>
                </c:pt>
                <c:pt idx="65">
                  <c:v>307.82</c:v>
                </c:pt>
                <c:pt idx="66">
                  <c:v>333.05</c:v>
                </c:pt>
                <c:pt idx="67">
                  <c:v>455.97</c:v>
                </c:pt>
                <c:pt idx="68">
                  <c:v>242.31</c:v>
                </c:pt>
                <c:pt idx="69">
                  <c:v>344.06</c:v>
                </c:pt>
                <c:pt idx="70">
                  <c:v>144.56</c:v>
                </c:pt>
                <c:pt idx="71">
                  <c:v>441.54</c:v>
                </c:pt>
                <c:pt idx="72">
                  <c:v>114.7</c:v>
                </c:pt>
                <c:pt idx="73">
                  <c:v>257.42</c:v>
                </c:pt>
                <c:pt idx="74">
                  <c:v>305.32</c:v>
                </c:pt>
                <c:pt idx="75">
                  <c:v>258.24</c:v>
                </c:pt>
                <c:pt idx="76">
                  <c:v>441.47</c:v>
                </c:pt>
                <c:pt idx="77">
                  <c:v>172.26</c:v>
                </c:pt>
                <c:pt idx="78">
                  <c:v>500.1</c:v>
                </c:pt>
                <c:pt idx="79">
                  <c:v>581.16</c:v>
                </c:pt>
                <c:pt idx="80">
                  <c:v>271.88</c:v>
                </c:pt>
                <c:pt idx="81">
                  <c:v>400.29</c:v>
                </c:pt>
                <c:pt idx="82">
                  <c:v>177.77</c:v>
                </c:pt>
                <c:pt idx="83">
                  <c:v>406.86</c:v>
                </c:pt>
                <c:pt idx="84">
                  <c:v>526</c:v>
                </c:pt>
                <c:pt idx="85">
                  <c:v>333.97</c:v>
                </c:pt>
                <c:pt idx="86">
                  <c:v>305.8</c:v>
                </c:pt>
                <c:pt idx="87">
                  <c:v>649.79</c:v>
                </c:pt>
                <c:pt idx="88">
                  <c:v>441.53</c:v>
                </c:pt>
                <c:pt idx="89">
                  <c:v>480.51</c:v>
                </c:pt>
                <c:pt idx="90">
                  <c:v>346.99</c:v>
                </c:pt>
                <c:pt idx="91">
                  <c:v>229.23</c:v>
                </c:pt>
                <c:pt idx="92">
                  <c:v>334.84</c:v>
                </c:pt>
                <c:pt idx="93">
                  <c:v>231.79</c:v>
                </c:pt>
                <c:pt idx="94">
                  <c:v>328.54</c:v>
                </c:pt>
                <c:pt idx="95">
                  <c:v>366.99</c:v>
                </c:pt>
                <c:pt idx="96">
                  <c:v>348.96</c:v>
                </c:pt>
                <c:pt idx="97">
                  <c:v>542.62</c:v>
                </c:pt>
                <c:pt idx="98">
                  <c:v>297.69</c:v>
                </c:pt>
                <c:pt idx="99">
                  <c:v>451.1</c:v>
                </c:pt>
                <c:pt idx="100">
                  <c:v>210.95</c:v>
                </c:pt>
                <c:pt idx="101">
                  <c:v>445.59</c:v>
                </c:pt>
                <c:pt idx="102">
                  <c:v>202.82</c:v>
                </c:pt>
                <c:pt idx="103">
                  <c:v>231.32</c:v>
                </c:pt>
                <c:pt idx="104">
                  <c:v>450.29</c:v>
                </c:pt>
                <c:pt idx="105">
                  <c:v>307.72000000000003</c:v>
                </c:pt>
                <c:pt idx="106">
                  <c:v>367.59</c:v>
                </c:pt>
                <c:pt idx="107">
                  <c:v>769.46</c:v>
                </c:pt>
                <c:pt idx="108">
                  <c:v>327.92</c:v>
                </c:pt>
                <c:pt idx="109">
                  <c:v>553.29999999999995</c:v>
                </c:pt>
                <c:pt idx="110">
                  <c:v>352.86</c:v>
                </c:pt>
                <c:pt idx="111">
                  <c:v>313.91000000000003</c:v>
                </c:pt>
                <c:pt idx="112">
                  <c:v>355.1</c:v>
                </c:pt>
                <c:pt idx="113">
                  <c:v>192.76</c:v>
                </c:pt>
                <c:pt idx="114">
                  <c:v>264.44</c:v>
                </c:pt>
                <c:pt idx="115">
                  <c:v>172.21</c:v>
                </c:pt>
                <c:pt idx="116">
                  <c:v>474.66</c:v>
                </c:pt>
                <c:pt idx="117">
                  <c:v>433.58</c:v>
                </c:pt>
                <c:pt idx="118">
                  <c:v>343.6</c:v>
                </c:pt>
                <c:pt idx="119">
                  <c:v>318.3</c:v>
                </c:pt>
                <c:pt idx="120">
                  <c:v>358.41</c:v>
                </c:pt>
                <c:pt idx="121">
                  <c:v>581.5</c:v>
                </c:pt>
                <c:pt idx="122">
                  <c:v>410.9</c:v>
                </c:pt>
                <c:pt idx="123">
                  <c:v>179.51</c:v>
                </c:pt>
                <c:pt idx="124">
                  <c:v>511.14</c:v>
                </c:pt>
                <c:pt idx="125">
                  <c:v>150.18</c:v>
                </c:pt>
                <c:pt idx="126">
                  <c:v>352.65</c:v>
                </c:pt>
                <c:pt idx="127">
                  <c:v>472.62</c:v>
                </c:pt>
                <c:pt idx="128">
                  <c:v>195.33</c:v>
                </c:pt>
                <c:pt idx="129">
                  <c:v>64.63</c:v>
                </c:pt>
                <c:pt idx="130">
                  <c:v>461.12</c:v>
                </c:pt>
                <c:pt idx="131">
                  <c:v>437.11</c:v>
                </c:pt>
                <c:pt idx="132">
                  <c:v>268.97000000000003</c:v>
                </c:pt>
                <c:pt idx="133">
                  <c:v>265.26</c:v>
                </c:pt>
                <c:pt idx="134">
                  <c:v>178.91</c:v>
                </c:pt>
                <c:pt idx="135">
                  <c:v>356.5</c:v>
                </c:pt>
                <c:pt idx="136">
                  <c:v>229.65</c:v>
                </c:pt>
                <c:pt idx="137">
                  <c:v>121.54</c:v>
                </c:pt>
                <c:pt idx="138">
                  <c:v>268</c:v>
                </c:pt>
                <c:pt idx="139">
                  <c:v>426.16</c:v>
                </c:pt>
                <c:pt idx="140">
                  <c:v>316.32</c:v>
                </c:pt>
                <c:pt idx="141">
                  <c:v>492.5</c:v>
                </c:pt>
                <c:pt idx="142">
                  <c:v>232.33</c:v>
                </c:pt>
                <c:pt idx="143">
                  <c:v>165.97</c:v>
                </c:pt>
                <c:pt idx="144">
                  <c:v>675.5</c:v>
                </c:pt>
                <c:pt idx="145">
                  <c:v>134.66</c:v>
                </c:pt>
                <c:pt idx="146">
                  <c:v>487.36</c:v>
                </c:pt>
                <c:pt idx="147">
                  <c:v>314.74</c:v>
                </c:pt>
                <c:pt idx="148">
                  <c:v>111.39</c:v>
                </c:pt>
                <c:pt idx="149">
                  <c:v>318.47000000000003</c:v>
                </c:pt>
                <c:pt idx="150">
                  <c:v>301.75</c:v>
                </c:pt>
                <c:pt idx="151">
                  <c:v>413.36</c:v>
                </c:pt>
                <c:pt idx="152">
                  <c:v>286.68</c:v>
                </c:pt>
                <c:pt idx="153">
                  <c:v>556.30999999999995</c:v>
                </c:pt>
                <c:pt idx="154">
                  <c:v>332.19</c:v>
                </c:pt>
                <c:pt idx="155">
                  <c:v>336.24</c:v>
                </c:pt>
                <c:pt idx="156">
                  <c:v>180.39</c:v>
                </c:pt>
                <c:pt idx="157">
                  <c:v>484.35</c:v>
                </c:pt>
                <c:pt idx="158">
                  <c:v>562.82000000000005</c:v>
                </c:pt>
                <c:pt idx="159">
                  <c:v>447.34</c:v>
                </c:pt>
                <c:pt idx="160">
                  <c:v>649.04999999999995</c:v>
                </c:pt>
                <c:pt idx="161">
                  <c:v>205</c:v>
                </c:pt>
                <c:pt idx="162">
                  <c:v>263.32</c:v>
                </c:pt>
                <c:pt idx="163">
                  <c:v>443.99</c:v>
                </c:pt>
                <c:pt idx="164">
                  <c:v>395.31</c:v>
                </c:pt>
                <c:pt idx="165">
                  <c:v>335.04</c:v>
                </c:pt>
                <c:pt idx="166">
                  <c:v>333.85</c:v>
                </c:pt>
                <c:pt idx="167">
                  <c:v>531.05999999999995</c:v>
                </c:pt>
                <c:pt idx="168">
                  <c:v>232.19</c:v>
                </c:pt>
                <c:pt idx="169">
                  <c:v>223.04</c:v>
                </c:pt>
                <c:pt idx="170">
                  <c:v>422.92</c:v>
                </c:pt>
                <c:pt idx="171">
                  <c:v>257.45</c:v>
                </c:pt>
                <c:pt idx="172">
                  <c:v>380.75</c:v>
                </c:pt>
                <c:pt idx="173">
                  <c:v>225.37</c:v>
                </c:pt>
                <c:pt idx="174">
                  <c:v>582.55999999999995</c:v>
                </c:pt>
                <c:pt idx="175">
                  <c:v>344.91</c:v>
                </c:pt>
                <c:pt idx="176">
                  <c:v>330.79</c:v>
                </c:pt>
                <c:pt idx="177">
                  <c:v>460</c:v>
                </c:pt>
                <c:pt idx="178">
                  <c:v>439.88</c:v>
                </c:pt>
                <c:pt idx="179">
                  <c:v>255.79</c:v>
                </c:pt>
                <c:pt idx="180">
                  <c:v>159.74</c:v>
                </c:pt>
                <c:pt idx="181">
                  <c:v>404.39</c:v>
                </c:pt>
                <c:pt idx="182">
                  <c:v>187.57</c:v>
                </c:pt>
                <c:pt idx="183">
                  <c:v>410.87</c:v>
                </c:pt>
                <c:pt idx="184">
                  <c:v>275.77999999999997</c:v>
                </c:pt>
                <c:pt idx="185">
                  <c:v>746.74</c:v>
                </c:pt>
                <c:pt idx="186">
                  <c:v>310.24</c:v>
                </c:pt>
                <c:pt idx="187">
                  <c:v>341.12</c:v>
                </c:pt>
                <c:pt idx="188">
                  <c:v>91.71</c:v>
                </c:pt>
                <c:pt idx="189">
                  <c:v>331.59</c:v>
                </c:pt>
                <c:pt idx="190">
                  <c:v>381.07</c:v>
                </c:pt>
                <c:pt idx="191">
                  <c:v>255.24</c:v>
                </c:pt>
                <c:pt idx="192">
                  <c:v>692.05</c:v>
                </c:pt>
                <c:pt idx="193">
                  <c:v>344.41</c:v>
                </c:pt>
                <c:pt idx="194">
                  <c:v>397.06</c:v>
                </c:pt>
                <c:pt idx="195">
                  <c:v>586.14</c:v>
                </c:pt>
                <c:pt idx="196">
                  <c:v>333.36</c:v>
                </c:pt>
                <c:pt idx="197">
                  <c:v>245.45</c:v>
                </c:pt>
                <c:pt idx="198">
                  <c:v>379.09</c:v>
                </c:pt>
                <c:pt idx="199">
                  <c:v>440.95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E34-4FA4-88AD-AC9875829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747587"/>
        <c:axId val="67619028"/>
      </c:scatterChart>
      <c:valAx>
        <c:axId val="3474758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Sales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619028"/>
        <c:crosses val="autoZero"/>
        <c:crossBetween val="midCat"/>
      </c:valAx>
      <c:valAx>
        <c:axId val="676190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Profit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747587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Growth'!$B$4</c:f>
              <c:strCache>
                <c:ptCount val="1"/>
                <c:pt idx="0">
                  <c:v>Sales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'Monthly Growth'!$A$5:$A$17</c:f>
              <c:numCache>
                <c:formatCode>mmm\-yyyy</c:formatCode>
                <c:ptCount val="13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  <c:pt idx="12">
                  <c:v>45748</c:v>
                </c:pt>
              </c:numCache>
            </c:numRef>
          </c:cat>
          <c:val>
            <c:numRef>
              <c:f>'Monthly Growth'!$B$5:$B$17</c:f>
              <c:numCache>
                <c:formatCode>#,##0.00</c:formatCode>
                <c:ptCount val="13"/>
                <c:pt idx="0">
                  <c:v>19029.96</c:v>
                </c:pt>
                <c:pt idx="1">
                  <c:v>18507.339999999997</c:v>
                </c:pt>
                <c:pt idx="2">
                  <c:v>20187.509999999998</c:v>
                </c:pt>
                <c:pt idx="3">
                  <c:v>11609.039999999999</c:v>
                </c:pt>
                <c:pt idx="4">
                  <c:v>10091.699999999999</c:v>
                </c:pt>
                <c:pt idx="5">
                  <c:v>20533.499999999996</c:v>
                </c:pt>
                <c:pt idx="6">
                  <c:v>14215.240000000002</c:v>
                </c:pt>
                <c:pt idx="7">
                  <c:v>20135.030000000002</c:v>
                </c:pt>
                <c:pt idx="8">
                  <c:v>11120.04</c:v>
                </c:pt>
                <c:pt idx="9">
                  <c:v>14914.650000000001</c:v>
                </c:pt>
                <c:pt idx="10">
                  <c:v>14006.359999999999</c:v>
                </c:pt>
                <c:pt idx="11">
                  <c:v>17655.219999999998</c:v>
                </c:pt>
                <c:pt idx="12">
                  <c:v>3212.17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84-494E-805D-09515AAC6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6670328"/>
        <c:axId val="30825251"/>
      </c:lineChart>
      <c:dateAx>
        <c:axId val="16670328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825251"/>
        <c:crosses val="autoZero"/>
        <c:auto val="1"/>
        <c:lblOffset val="100"/>
        <c:baseTimeUnit val="months"/>
      </c:dateAx>
      <c:valAx>
        <c:axId val="308252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6703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Total 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Pivot!$G$4</c:f>
              <c:strCache>
                <c:ptCount val="1"/>
                <c:pt idx="0">
                  <c:v>Grand Total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Pivot!$A$5:$A$9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Pivot!$G$5:$G$9</c:f>
              <c:numCache>
                <c:formatCode>#,##0</c:formatCode>
                <c:ptCount val="5"/>
                <c:pt idx="0">
                  <c:v>43468.33</c:v>
                </c:pt>
                <c:pt idx="1">
                  <c:v>32441.640000000003</c:v>
                </c:pt>
                <c:pt idx="2">
                  <c:v>34975.420000000006</c:v>
                </c:pt>
                <c:pt idx="3">
                  <c:v>40248.79</c:v>
                </c:pt>
                <c:pt idx="4">
                  <c:v>44083.58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A9-417F-AED0-5A15E1ADB3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2649"/>
        <c:axId val="99358703"/>
      </c:barChart>
      <c:catAx>
        <c:axId val="20126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358703"/>
        <c:crosses val="autoZero"/>
        <c:auto val="1"/>
        <c:lblAlgn val="ctr"/>
        <c:lblOffset val="100"/>
        <c:noMultiLvlLbl val="0"/>
      </c:catAx>
      <c:valAx>
        <c:axId val="993587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1264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Growth'!$B$4</c:f>
              <c:strCache>
                <c:ptCount val="1"/>
                <c:pt idx="0">
                  <c:v>Sales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'Monthly Growth'!$A$5:$A$17</c:f>
              <c:numCache>
                <c:formatCode>mmm\-yyyy</c:formatCode>
                <c:ptCount val="13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  <c:pt idx="12">
                  <c:v>45748</c:v>
                </c:pt>
              </c:numCache>
            </c:numRef>
          </c:cat>
          <c:val>
            <c:numRef>
              <c:f>'Monthly Growth'!$B$5:$B$17</c:f>
              <c:numCache>
                <c:formatCode>#,##0.00</c:formatCode>
                <c:ptCount val="13"/>
                <c:pt idx="0">
                  <c:v>19029.96</c:v>
                </c:pt>
                <c:pt idx="1">
                  <c:v>18507.339999999997</c:v>
                </c:pt>
                <c:pt idx="2">
                  <c:v>20187.509999999998</c:v>
                </c:pt>
                <c:pt idx="3">
                  <c:v>11609.039999999999</c:v>
                </c:pt>
                <c:pt idx="4">
                  <c:v>10091.699999999999</c:v>
                </c:pt>
                <c:pt idx="5">
                  <c:v>20533.499999999996</c:v>
                </c:pt>
                <c:pt idx="6">
                  <c:v>14215.240000000002</c:v>
                </c:pt>
                <c:pt idx="7">
                  <c:v>20135.030000000002</c:v>
                </c:pt>
                <c:pt idx="8">
                  <c:v>11120.04</c:v>
                </c:pt>
                <c:pt idx="9">
                  <c:v>14914.650000000001</c:v>
                </c:pt>
                <c:pt idx="10">
                  <c:v>14006.359999999999</c:v>
                </c:pt>
                <c:pt idx="11">
                  <c:v>17655.219999999998</c:v>
                </c:pt>
                <c:pt idx="12">
                  <c:v>3212.17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EB9-43A7-8EB1-88A24963D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2685718"/>
        <c:axId val="36259508"/>
      </c:lineChart>
      <c:dateAx>
        <c:axId val="52685718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259508"/>
        <c:crosses val="autoZero"/>
        <c:auto val="1"/>
        <c:lblOffset val="100"/>
        <c:baseTimeUnit val="months"/>
      </c:dateAx>
      <c:valAx>
        <c:axId val="362595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68571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Share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1">
                      <a:shade val="51000"/>
                    </a:schemeClr>
                  </a:gs>
                  <a:gs pos="80000">
                    <a:schemeClr val="accent1">
                      <a:shade val="93000"/>
                    </a:schemeClr>
                  </a:gs>
                  <a:gs pos="100000">
                    <a:schemeClr val="accent1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1F5-4540-9FE8-D9405D5E75D9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shade val="51000"/>
                    </a:schemeClr>
                  </a:gs>
                  <a:gs pos="80000">
                    <a:schemeClr val="accent2">
                      <a:shade val="93000"/>
                    </a:schemeClr>
                  </a:gs>
                  <a:gs pos="100000">
                    <a:schemeClr val="accent2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1F5-4540-9FE8-D9405D5E75D9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shade val="51000"/>
                    </a:schemeClr>
                  </a:gs>
                  <a:gs pos="80000">
                    <a:schemeClr val="accent3">
                      <a:shade val="93000"/>
                    </a:schemeClr>
                  </a:gs>
                  <a:gs pos="100000">
                    <a:schemeClr val="accent3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1F5-4540-9FE8-D9405D5E75D9}"/>
              </c:ext>
            </c:extLst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shade val="51000"/>
                    </a:schemeClr>
                  </a:gs>
                  <a:gs pos="80000">
                    <a:schemeClr val="accent4">
                      <a:shade val="93000"/>
                    </a:schemeClr>
                  </a:gs>
                  <a:gs pos="100000">
                    <a:schemeClr val="accent4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1F5-4540-9FE8-D9405D5E75D9}"/>
              </c:ext>
            </c:extLst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shade val="51000"/>
                    </a:schemeClr>
                  </a:gs>
                  <a:gs pos="80000">
                    <a:schemeClr val="accent5">
                      <a:shade val="93000"/>
                    </a:schemeClr>
                  </a:gs>
                  <a:gs pos="100000">
                    <a:schemeClr val="accent5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1F5-4540-9FE8-D9405D5E75D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1"/>
            <c:showSerName val="1"/>
            <c:showPercent val="1"/>
            <c:showBubbleSize val="1"/>
            <c:separator>
</c:separator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Pivot!$B$4:$F$4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Pivot!$B$10:$F$10</c:f>
              <c:numCache>
                <c:formatCode>#,##0</c:formatCode>
                <c:ptCount val="5"/>
                <c:pt idx="0">
                  <c:v>47002.460000000006</c:v>
                </c:pt>
                <c:pt idx="1">
                  <c:v>41927.589999999997</c:v>
                </c:pt>
                <c:pt idx="2">
                  <c:v>41044</c:v>
                </c:pt>
                <c:pt idx="3">
                  <c:v>36612.89</c:v>
                </c:pt>
                <c:pt idx="4">
                  <c:v>28630.82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1F5-4540-9FE8-D9405D5E75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Top 10 Customers by Purchase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'High Value'!$D$7</c:f>
              <c:strCache>
                <c:ptCount val="1"/>
                <c:pt idx="0">
                  <c:v>Total Purchase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'High Value'!$B$8:$B$17</c:f>
              <c:strCache>
                <c:ptCount val="10"/>
                <c:pt idx="0">
                  <c:v>CUST015</c:v>
                </c:pt>
                <c:pt idx="1">
                  <c:v>CUST028</c:v>
                </c:pt>
                <c:pt idx="2">
                  <c:v>CUST007</c:v>
                </c:pt>
                <c:pt idx="3">
                  <c:v>CUST008</c:v>
                </c:pt>
                <c:pt idx="4">
                  <c:v>CUST026</c:v>
                </c:pt>
                <c:pt idx="5">
                  <c:v>CUST021</c:v>
                </c:pt>
                <c:pt idx="6">
                  <c:v>CUST003</c:v>
                </c:pt>
                <c:pt idx="7">
                  <c:v>CUST012</c:v>
                </c:pt>
                <c:pt idx="8">
                  <c:v>CUST030</c:v>
                </c:pt>
                <c:pt idx="9">
                  <c:v>CUST004</c:v>
                </c:pt>
              </c:strCache>
            </c:strRef>
          </c:cat>
          <c:val>
            <c:numRef>
              <c:f>'High Value'!$D$8:$D$17</c:f>
              <c:numCache>
                <c:formatCode>#,##0.00</c:formatCode>
                <c:ptCount val="10"/>
                <c:pt idx="0">
                  <c:v>11611.060000000001</c:v>
                </c:pt>
                <c:pt idx="1">
                  <c:v>10293.870000000001</c:v>
                </c:pt>
                <c:pt idx="2">
                  <c:v>9941.8799999999992</c:v>
                </c:pt>
                <c:pt idx="3">
                  <c:v>9760.7999999999993</c:v>
                </c:pt>
                <c:pt idx="4">
                  <c:v>9371.81</c:v>
                </c:pt>
                <c:pt idx="5">
                  <c:v>8740.18</c:v>
                </c:pt>
                <c:pt idx="6">
                  <c:v>8490.18</c:v>
                </c:pt>
                <c:pt idx="7">
                  <c:v>8339</c:v>
                </c:pt>
                <c:pt idx="8">
                  <c:v>7928.71</c:v>
                </c:pt>
                <c:pt idx="9">
                  <c:v>7813.59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AF-447F-AE71-E2322E36A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145021"/>
        <c:axId val="45484888"/>
      </c:barChart>
      <c:catAx>
        <c:axId val="8514502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484888"/>
        <c:crosses val="autoZero"/>
        <c:auto val="1"/>
        <c:lblAlgn val="ctr"/>
        <c:lblOffset val="100"/>
        <c:noMultiLvlLbl val="0"/>
      </c:catAx>
      <c:valAx>
        <c:axId val="45484888"/>
        <c:scaling>
          <c:orientation val="minMax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14502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34</xdr:row>
      <xdr:rowOff>160560</xdr:rowOff>
    </xdr:from>
    <xdr:to>
      <xdr:col>3</xdr:col>
      <xdr:colOff>2820</xdr:colOff>
      <xdr:row>50</xdr:row>
      <xdr:rowOff>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160920</xdr:rowOff>
    </xdr:from>
    <xdr:to>
      <xdr:col>17</xdr:col>
      <xdr:colOff>255960</xdr:colOff>
      <xdr:row>19</xdr:row>
      <xdr:rowOff>162000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160920</xdr:rowOff>
    </xdr:from>
    <xdr:to>
      <xdr:col>14</xdr:col>
      <xdr:colOff>507600</xdr:colOff>
      <xdr:row>18</xdr:row>
      <xdr:rowOff>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100800</xdr:rowOff>
    </xdr:from>
    <xdr:to>
      <xdr:col>2</xdr:col>
      <xdr:colOff>1218240</xdr:colOff>
      <xdr:row>30</xdr:row>
      <xdr:rowOff>133560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16</xdr:row>
      <xdr:rowOff>100800</xdr:rowOff>
    </xdr:from>
    <xdr:to>
      <xdr:col>6</xdr:col>
      <xdr:colOff>387360</xdr:colOff>
      <xdr:row>30</xdr:row>
      <xdr:rowOff>133560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32</xdr:row>
      <xdr:rowOff>100800</xdr:rowOff>
    </xdr:from>
    <xdr:to>
      <xdr:col>2</xdr:col>
      <xdr:colOff>1218240</xdr:colOff>
      <xdr:row>47</xdr:row>
      <xdr:rowOff>123120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0</xdr:colOff>
      <xdr:row>32</xdr:row>
      <xdr:rowOff>100800</xdr:rowOff>
    </xdr:from>
    <xdr:to>
      <xdr:col>6</xdr:col>
      <xdr:colOff>387360</xdr:colOff>
      <xdr:row>47</xdr:row>
      <xdr:rowOff>123120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4"/>
  <sheetViews>
    <sheetView zoomScaleNormal="100" workbookViewId="0">
      <pane ySplit="4" topLeftCell="A13" activePane="bottomLeft" state="frozen"/>
      <selection pane="bottomLeft" activeCell="A5" sqref="A5:H34"/>
    </sheetView>
  </sheetViews>
  <sheetFormatPr defaultColWidth="8.6640625" defaultRowHeight="14.4" x14ac:dyDescent="0.3"/>
  <cols>
    <col min="1" max="1" width="14" customWidth="1"/>
    <col min="2" max="2" width="9" customWidth="1"/>
    <col min="3" max="3" width="16" customWidth="1"/>
    <col min="4" max="4" width="14" customWidth="1"/>
    <col min="5" max="5" width="13" customWidth="1"/>
    <col min="6" max="6" width="8" customWidth="1"/>
    <col min="7" max="7" width="12" customWidth="1"/>
    <col min="8" max="8" width="13" customWidth="1"/>
  </cols>
  <sheetData>
    <row r="1" spans="1:9" ht="17.399999999999999" x14ac:dyDescent="0.3">
      <c r="A1" s="35" t="s">
        <v>93</v>
      </c>
      <c r="B1" s="35"/>
      <c r="C1" s="35"/>
      <c r="D1" s="35"/>
      <c r="E1" s="35"/>
      <c r="F1" s="35"/>
      <c r="G1" s="35"/>
      <c r="H1" s="35"/>
      <c r="I1" s="35"/>
    </row>
    <row r="2" spans="1:9" x14ac:dyDescent="0.3">
      <c r="A2" s="1" t="s">
        <v>94</v>
      </c>
    </row>
    <row r="3" spans="1:9" x14ac:dyDescent="0.3">
      <c r="A3" s="13" t="s">
        <v>95</v>
      </c>
      <c r="C3" s="14">
        <v>8300</v>
      </c>
      <c r="D3" s="1" t="s">
        <v>96</v>
      </c>
    </row>
    <row r="4" spans="1:9" ht="26.4" x14ac:dyDescent="0.3">
      <c r="A4" s="36" t="s">
        <v>14</v>
      </c>
      <c r="B4" s="36" t="s">
        <v>97</v>
      </c>
      <c r="C4" s="36" t="s">
        <v>98</v>
      </c>
      <c r="D4" s="36" t="s">
        <v>2</v>
      </c>
      <c r="E4" s="36" t="s">
        <v>3</v>
      </c>
      <c r="F4" s="36" t="s">
        <v>99</v>
      </c>
      <c r="G4" s="36" t="s">
        <v>100</v>
      </c>
      <c r="H4" s="36" t="s">
        <v>101</v>
      </c>
    </row>
    <row r="5" spans="1:9" x14ac:dyDescent="0.3">
      <c r="A5" s="37" t="s">
        <v>45</v>
      </c>
      <c r="B5" s="37">
        <f>COUNTIF(Data!$A$2:$A$201,A5)</f>
        <v>7</v>
      </c>
      <c r="C5" s="38">
        <f>SUMIFS(Data!$E$2:$E$201,Data!$A$2:$A$201,A5)</f>
        <v>6549.55</v>
      </c>
      <c r="D5" s="38">
        <f>SUMIFS(Data!$I$2:$I$201,Data!$A$2:$A$201,A5)</f>
        <v>1868.7700000000004</v>
      </c>
      <c r="E5" s="39">
        <f t="shared" ref="E5:E34" si="0">IF(C5=0,0,D5/C5)</f>
        <v>0.28532799963356265</v>
      </c>
      <c r="F5" s="37">
        <f t="shared" ref="F5:F34" si="1">RANK(C5,$C$5:$C$34)</f>
        <v>15</v>
      </c>
      <c r="G5" s="37">
        <f>F5+COUNTIF($F$5:F5,F5)-1</f>
        <v>15</v>
      </c>
      <c r="H5" s="37" t="str">
        <f t="shared" ref="H5:H34" si="2">IF(C5&gt;=$C$3,"High Value","Standard")</f>
        <v>Standard</v>
      </c>
    </row>
    <row r="6" spans="1:9" x14ac:dyDescent="0.3">
      <c r="A6" s="37" t="s">
        <v>82</v>
      </c>
      <c r="B6" s="37">
        <f>COUNTIF(Data!$A$2:$A$201,A6)</f>
        <v>6</v>
      </c>
      <c r="C6" s="38">
        <f>SUMIFS(Data!$E$2:$E$201,Data!$A$2:$A$201,A6)</f>
        <v>6481.43</v>
      </c>
      <c r="D6" s="38">
        <f>SUMIFS(Data!$I$2:$I$201,Data!$A$2:$A$201,A6)</f>
        <v>2210.7399999999998</v>
      </c>
      <c r="E6" s="39">
        <f t="shared" si="0"/>
        <v>0.34108830921571315</v>
      </c>
      <c r="F6" s="37">
        <f t="shared" si="1"/>
        <v>17</v>
      </c>
      <c r="G6" s="37">
        <f>F6+COUNTIF($F$5:F6,F6)-1</f>
        <v>17</v>
      </c>
      <c r="H6" s="37" t="str">
        <f t="shared" si="2"/>
        <v>Standard</v>
      </c>
    </row>
    <row r="7" spans="1:9" x14ac:dyDescent="0.3">
      <c r="A7" s="37" t="s">
        <v>84</v>
      </c>
      <c r="B7" s="37">
        <f>COUNTIF(Data!$A$2:$A$201,A7)</f>
        <v>9</v>
      </c>
      <c r="C7" s="38">
        <f>SUMIFS(Data!$E$2:$E$201,Data!$A$2:$A$201,A7)</f>
        <v>8490.18</v>
      </c>
      <c r="D7" s="38">
        <f>SUMIFS(Data!$I$2:$I$201,Data!$A$2:$A$201,A7)</f>
        <v>2652.75</v>
      </c>
      <c r="E7" s="39">
        <f t="shared" si="0"/>
        <v>0.31244920602390053</v>
      </c>
      <c r="F7" s="37">
        <f t="shared" si="1"/>
        <v>7</v>
      </c>
      <c r="G7" s="37">
        <f>F7+COUNTIF($F$5:F7,F7)-1</f>
        <v>7</v>
      </c>
      <c r="H7" s="37" t="str">
        <f t="shared" si="2"/>
        <v>High Value</v>
      </c>
    </row>
    <row r="8" spans="1:9" x14ac:dyDescent="0.3">
      <c r="A8" s="37" t="s">
        <v>89</v>
      </c>
      <c r="B8" s="37">
        <f>COUNTIF(Data!$A$2:$A$201,A8)</f>
        <v>7</v>
      </c>
      <c r="C8" s="38">
        <f>SUMIFS(Data!$E$2:$E$201,Data!$A$2:$A$201,A8)</f>
        <v>7813.59</v>
      </c>
      <c r="D8" s="38">
        <f>SUMIFS(Data!$I$2:$I$201,Data!$A$2:$A$201,A8)</f>
        <v>3211.82</v>
      </c>
      <c r="E8" s="39">
        <f t="shared" si="0"/>
        <v>0.41105560952135961</v>
      </c>
      <c r="F8" s="37">
        <f t="shared" si="1"/>
        <v>10</v>
      </c>
      <c r="G8" s="37">
        <f>F8+COUNTIF($F$5:F8,F8)-1</f>
        <v>10</v>
      </c>
      <c r="H8" s="37" t="str">
        <f t="shared" si="2"/>
        <v>Standard</v>
      </c>
    </row>
    <row r="9" spans="1:9" x14ac:dyDescent="0.3">
      <c r="A9" s="37" t="s">
        <v>36</v>
      </c>
      <c r="B9" s="37">
        <f>COUNTIF(Data!$A$2:$A$201,A9)</f>
        <v>6</v>
      </c>
      <c r="C9" s="38">
        <f>SUMIFS(Data!$E$2:$E$201,Data!$A$2:$A$201,A9)</f>
        <v>6666.130000000001</v>
      </c>
      <c r="D9" s="38">
        <f>SUMIFS(Data!$I$2:$I$201,Data!$A$2:$A$201,A9)</f>
        <v>1982.3899999999999</v>
      </c>
      <c r="E9" s="39">
        <f t="shared" si="0"/>
        <v>0.29738243928636249</v>
      </c>
      <c r="F9" s="37">
        <f t="shared" si="1"/>
        <v>14</v>
      </c>
      <c r="G9" s="37">
        <f>F9+COUNTIF($F$5:F9,F9)-1</f>
        <v>14</v>
      </c>
      <c r="H9" s="37" t="str">
        <f t="shared" si="2"/>
        <v>Standard</v>
      </c>
    </row>
    <row r="10" spans="1:9" x14ac:dyDescent="0.3">
      <c r="A10" s="37" t="s">
        <v>63</v>
      </c>
      <c r="B10" s="37">
        <f>COUNTIF(Data!$A$2:$A$201,A10)</f>
        <v>2</v>
      </c>
      <c r="C10" s="38">
        <f>SUMIFS(Data!$E$2:$E$201,Data!$A$2:$A$201,A10)</f>
        <v>2699.75</v>
      </c>
      <c r="D10" s="38">
        <f>SUMIFS(Data!$I$2:$I$201,Data!$A$2:$A$201,A10)</f>
        <v>837.06</v>
      </c>
      <c r="E10" s="39">
        <f t="shared" si="0"/>
        <v>0.31005093064172606</v>
      </c>
      <c r="F10" s="37">
        <f t="shared" si="1"/>
        <v>30</v>
      </c>
      <c r="G10" s="37">
        <f>F10+COUNTIF($F$5:F10,F10)-1</f>
        <v>30</v>
      </c>
      <c r="H10" s="37" t="str">
        <f t="shared" si="2"/>
        <v>Standard</v>
      </c>
    </row>
    <row r="11" spans="1:9" x14ac:dyDescent="0.3">
      <c r="A11" s="37" t="s">
        <v>42</v>
      </c>
      <c r="B11" s="37">
        <f>COUNTIF(Data!$A$2:$A$201,A11)</f>
        <v>10</v>
      </c>
      <c r="C11" s="38">
        <f>SUMIFS(Data!$E$2:$E$201,Data!$A$2:$A$201,A11)</f>
        <v>9941.8799999999992</v>
      </c>
      <c r="D11" s="38">
        <f>SUMIFS(Data!$I$2:$I$201,Data!$A$2:$A$201,A11)</f>
        <v>3936.2599999999998</v>
      </c>
      <c r="E11" s="39">
        <f t="shared" si="0"/>
        <v>0.39592712847067157</v>
      </c>
      <c r="F11" s="37">
        <f t="shared" si="1"/>
        <v>3</v>
      </c>
      <c r="G11" s="37">
        <f>F11+COUNTIF($F$5:F11,F11)-1</f>
        <v>3</v>
      </c>
      <c r="H11" s="37" t="str">
        <f t="shared" si="2"/>
        <v>High Value</v>
      </c>
    </row>
    <row r="12" spans="1:9" x14ac:dyDescent="0.3">
      <c r="A12" s="37" t="s">
        <v>61</v>
      </c>
      <c r="B12" s="37">
        <f>COUNTIF(Data!$A$2:$A$201,A12)</f>
        <v>10</v>
      </c>
      <c r="C12" s="38">
        <f>SUMIFS(Data!$E$2:$E$201,Data!$A$2:$A$201,A12)</f>
        <v>9760.7999999999993</v>
      </c>
      <c r="D12" s="38">
        <f>SUMIFS(Data!$I$2:$I$201,Data!$A$2:$A$201,A12)</f>
        <v>3442.48</v>
      </c>
      <c r="E12" s="39">
        <f t="shared" si="0"/>
        <v>0.35268420621260554</v>
      </c>
      <c r="F12" s="37">
        <f t="shared" si="1"/>
        <v>4</v>
      </c>
      <c r="G12" s="37">
        <f>F12+COUNTIF($F$5:F12,F12)-1</f>
        <v>4</v>
      </c>
      <c r="H12" s="37" t="str">
        <f t="shared" si="2"/>
        <v>High Value</v>
      </c>
    </row>
    <row r="13" spans="1:9" x14ac:dyDescent="0.3">
      <c r="A13" s="37" t="s">
        <v>49</v>
      </c>
      <c r="B13" s="37">
        <f>COUNTIF(Data!$A$2:$A$201,A13)</f>
        <v>7</v>
      </c>
      <c r="C13" s="38">
        <f>SUMIFS(Data!$E$2:$E$201,Data!$A$2:$A$201,A13)</f>
        <v>6505.2</v>
      </c>
      <c r="D13" s="38">
        <f>SUMIFS(Data!$I$2:$I$201,Data!$A$2:$A$201,A13)</f>
        <v>2052.54</v>
      </c>
      <c r="E13" s="39">
        <f t="shared" si="0"/>
        <v>0.31552296624239068</v>
      </c>
      <c r="F13" s="37">
        <f t="shared" si="1"/>
        <v>16</v>
      </c>
      <c r="G13" s="37">
        <f>F13+COUNTIF($F$5:F13,F13)-1</f>
        <v>16</v>
      </c>
      <c r="H13" s="37" t="str">
        <f t="shared" si="2"/>
        <v>Standard</v>
      </c>
    </row>
    <row r="14" spans="1:9" x14ac:dyDescent="0.3">
      <c r="A14" s="37" t="s">
        <v>52</v>
      </c>
      <c r="B14" s="37">
        <f>COUNTIF(Data!$A$2:$A$201,A14)</f>
        <v>5</v>
      </c>
      <c r="C14" s="38">
        <f>SUMIFS(Data!$E$2:$E$201,Data!$A$2:$A$201,A14)</f>
        <v>4259.22</v>
      </c>
      <c r="D14" s="38">
        <f>SUMIFS(Data!$I$2:$I$201,Data!$A$2:$A$201,A14)</f>
        <v>1529.32</v>
      </c>
      <c r="E14" s="39">
        <f t="shared" si="0"/>
        <v>0.35906104873662309</v>
      </c>
      <c r="F14" s="37">
        <f t="shared" si="1"/>
        <v>24</v>
      </c>
      <c r="G14" s="37">
        <f>F14+COUNTIF($F$5:F14,F14)-1</f>
        <v>24</v>
      </c>
      <c r="H14" s="37" t="str">
        <f t="shared" si="2"/>
        <v>Standard</v>
      </c>
    </row>
    <row r="15" spans="1:9" x14ac:dyDescent="0.3">
      <c r="A15" s="37" t="s">
        <v>80</v>
      </c>
      <c r="B15" s="37">
        <f>COUNTIF(Data!$A$2:$A$201,A15)</f>
        <v>4</v>
      </c>
      <c r="C15" s="38">
        <f>SUMIFS(Data!$E$2:$E$201,Data!$A$2:$A$201,A15)</f>
        <v>3762.2900000000004</v>
      </c>
      <c r="D15" s="38">
        <f>SUMIFS(Data!$I$2:$I$201,Data!$A$2:$A$201,A15)</f>
        <v>1545.04</v>
      </c>
      <c r="E15" s="39">
        <f t="shared" si="0"/>
        <v>0.41066478129011846</v>
      </c>
      <c r="F15" s="37">
        <f t="shared" si="1"/>
        <v>27</v>
      </c>
      <c r="G15" s="37">
        <f>F15+COUNTIF($F$5:F15,F15)-1</f>
        <v>27</v>
      </c>
      <c r="H15" s="37" t="str">
        <f t="shared" si="2"/>
        <v>Standard</v>
      </c>
    </row>
    <row r="16" spans="1:9" x14ac:dyDescent="0.3">
      <c r="A16" s="37" t="s">
        <v>30</v>
      </c>
      <c r="B16" s="37">
        <f>COUNTIF(Data!$A$2:$A$201,A16)</f>
        <v>9</v>
      </c>
      <c r="C16" s="38">
        <f>SUMIFS(Data!$E$2:$E$201,Data!$A$2:$A$201,A16)</f>
        <v>8339</v>
      </c>
      <c r="D16" s="38">
        <f>SUMIFS(Data!$I$2:$I$201,Data!$A$2:$A$201,A16)</f>
        <v>2988.7100000000005</v>
      </c>
      <c r="E16" s="39">
        <f t="shared" si="0"/>
        <v>0.35840148698884766</v>
      </c>
      <c r="F16" s="37">
        <f t="shared" si="1"/>
        <v>8</v>
      </c>
      <c r="G16" s="37">
        <f>F16+COUNTIF($F$5:F16,F16)-1</f>
        <v>8</v>
      </c>
      <c r="H16" s="37" t="str">
        <f t="shared" si="2"/>
        <v>High Value</v>
      </c>
    </row>
    <row r="17" spans="1:8" x14ac:dyDescent="0.3">
      <c r="A17" s="37" t="s">
        <v>90</v>
      </c>
      <c r="B17" s="37">
        <f>COUNTIF(Data!$A$2:$A$201,A17)</f>
        <v>4</v>
      </c>
      <c r="C17" s="38">
        <f>SUMIFS(Data!$E$2:$E$201,Data!$A$2:$A$201,A17)</f>
        <v>4162.4400000000005</v>
      </c>
      <c r="D17" s="38">
        <f>SUMIFS(Data!$I$2:$I$201,Data!$A$2:$A$201,A17)</f>
        <v>1605.11</v>
      </c>
      <c r="E17" s="39">
        <f t="shared" si="0"/>
        <v>0.38561757046347805</v>
      </c>
      <c r="F17" s="37">
        <f t="shared" si="1"/>
        <v>25</v>
      </c>
      <c r="G17" s="37">
        <f>F17+COUNTIF($F$5:F17,F17)-1</f>
        <v>25</v>
      </c>
      <c r="H17" s="37" t="str">
        <f t="shared" si="2"/>
        <v>Standard</v>
      </c>
    </row>
    <row r="18" spans="1:8" x14ac:dyDescent="0.3">
      <c r="A18" s="37" t="s">
        <v>54</v>
      </c>
      <c r="B18" s="37">
        <f>COUNTIF(Data!$A$2:$A$201,A18)</f>
        <v>6</v>
      </c>
      <c r="C18" s="38">
        <f>SUMIFS(Data!$E$2:$E$201,Data!$A$2:$A$201,A18)</f>
        <v>6729.8899999999994</v>
      </c>
      <c r="D18" s="38">
        <f>SUMIFS(Data!$I$2:$I$201,Data!$A$2:$A$201,A18)</f>
        <v>2507.1799999999998</v>
      </c>
      <c r="E18" s="39">
        <f t="shared" si="0"/>
        <v>0.37254397917350807</v>
      </c>
      <c r="F18" s="37">
        <f t="shared" si="1"/>
        <v>12</v>
      </c>
      <c r="G18" s="37">
        <f>F18+COUNTIF($F$5:F18,F18)-1</f>
        <v>12</v>
      </c>
      <c r="H18" s="37" t="str">
        <f t="shared" si="2"/>
        <v>Standard</v>
      </c>
    </row>
    <row r="19" spans="1:8" x14ac:dyDescent="0.3">
      <c r="A19" s="37" t="s">
        <v>75</v>
      </c>
      <c r="B19" s="37">
        <f>COUNTIF(Data!$A$2:$A$201,A19)</f>
        <v>11</v>
      </c>
      <c r="C19" s="38">
        <f>SUMIFS(Data!$E$2:$E$201,Data!$A$2:$A$201,A19)</f>
        <v>11611.060000000001</v>
      </c>
      <c r="D19" s="38">
        <f>SUMIFS(Data!$I$2:$I$201,Data!$A$2:$A$201,A19)</f>
        <v>4201.59</v>
      </c>
      <c r="E19" s="39">
        <f t="shared" si="0"/>
        <v>0.36186101871835991</v>
      </c>
      <c r="F19" s="37">
        <f t="shared" si="1"/>
        <v>1</v>
      </c>
      <c r="G19" s="37">
        <f>F19+COUNTIF($F$5:F19,F19)-1</f>
        <v>1</v>
      </c>
      <c r="H19" s="37" t="str">
        <f t="shared" si="2"/>
        <v>High Value</v>
      </c>
    </row>
    <row r="20" spans="1:8" x14ac:dyDescent="0.3">
      <c r="A20" s="37" t="s">
        <v>77</v>
      </c>
      <c r="B20" s="37">
        <f>COUNTIF(Data!$A$2:$A$201,A20)</f>
        <v>4</v>
      </c>
      <c r="C20" s="38">
        <f>SUMIFS(Data!$E$2:$E$201,Data!$A$2:$A$201,A20)</f>
        <v>3369.17</v>
      </c>
      <c r="D20" s="38">
        <f>SUMIFS(Data!$I$2:$I$201,Data!$A$2:$A$201,A20)</f>
        <v>1497.25</v>
      </c>
      <c r="E20" s="39">
        <f t="shared" si="0"/>
        <v>0.44439728479120971</v>
      </c>
      <c r="F20" s="37">
        <f t="shared" si="1"/>
        <v>29</v>
      </c>
      <c r="G20" s="37">
        <f>F20+COUNTIF($F$5:F20,F20)-1</f>
        <v>29</v>
      </c>
      <c r="H20" s="37" t="str">
        <f t="shared" si="2"/>
        <v>Standard</v>
      </c>
    </row>
    <row r="21" spans="1:8" x14ac:dyDescent="0.3">
      <c r="A21" s="37" t="s">
        <v>33</v>
      </c>
      <c r="B21" s="37">
        <f>COUNTIF(Data!$A$2:$A$201,A21)</f>
        <v>4</v>
      </c>
      <c r="C21" s="38">
        <f>SUMIFS(Data!$E$2:$E$201,Data!$A$2:$A$201,A21)</f>
        <v>3419.2</v>
      </c>
      <c r="D21" s="38">
        <f>SUMIFS(Data!$I$2:$I$201,Data!$A$2:$A$201,A21)</f>
        <v>1257.21</v>
      </c>
      <c r="E21" s="39">
        <f t="shared" si="0"/>
        <v>0.36769127281235381</v>
      </c>
      <c r="F21" s="37">
        <f t="shared" si="1"/>
        <v>28</v>
      </c>
      <c r="G21" s="37">
        <f>F21+COUNTIF($F$5:F21,F21)-1</f>
        <v>28</v>
      </c>
      <c r="H21" s="37" t="str">
        <f t="shared" si="2"/>
        <v>Standard</v>
      </c>
    </row>
    <row r="22" spans="1:8" x14ac:dyDescent="0.3">
      <c r="A22" s="37" t="s">
        <v>92</v>
      </c>
      <c r="B22" s="37">
        <f>COUNTIF(Data!$A$2:$A$201,A22)</f>
        <v>5</v>
      </c>
      <c r="C22" s="38">
        <f>SUMIFS(Data!$E$2:$E$201,Data!$A$2:$A$201,A22)</f>
        <v>4951.8899999999994</v>
      </c>
      <c r="D22" s="38">
        <f>SUMIFS(Data!$I$2:$I$201,Data!$A$2:$A$201,A22)</f>
        <v>1821.6399999999999</v>
      </c>
      <c r="E22" s="39">
        <f t="shared" si="0"/>
        <v>0.36786762226139919</v>
      </c>
      <c r="F22" s="37">
        <f t="shared" si="1"/>
        <v>20</v>
      </c>
      <c r="G22" s="37">
        <f>F22+COUNTIF($F$5:F22,F22)-1</f>
        <v>20</v>
      </c>
      <c r="H22" s="37" t="str">
        <f t="shared" si="2"/>
        <v>Standard</v>
      </c>
    </row>
    <row r="23" spans="1:8" x14ac:dyDescent="0.3">
      <c r="A23" s="37" t="s">
        <v>26</v>
      </c>
      <c r="B23" s="37">
        <f>COUNTIF(Data!$A$2:$A$201,A23)</f>
        <v>5</v>
      </c>
      <c r="C23" s="38">
        <f>SUMIFS(Data!$E$2:$E$201,Data!$A$2:$A$201,A23)</f>
        <v>4640.1099999999997</v>
      </c>
      <c r="D23" s="38">
        <f>SUMIFS(Data!$I$2:$I$201,Data!$A$2:$A$201,A23)</f>
        <v>1721.12</v>
      </c>
      <c r="E23" s="39">
        <f t="shared" si="0"/>
        <v>0.37092224106756089</v>
      </c>
      <c r="F23" s="37">
        <f t="shared" si="1"/>
        <v>21</v>
      </c>
      <c r="G23" s="37">
        <f>F23+COUNTIF($F$5:F23,F23)-1</f>
        <v>21</v>
      </c>
      <c r="H23" s="37" t="str">
        <f t="shared" si="2"/>
        <v>Standard</v>
      </c>
    </row>
    <row r="24" spans="1:8" x14ac:dyDescent="0.3">
      <c r="A24" s="37" t="s">
        <v>85</v>
      </c>
      <c r="B24" s="37">
        <f>COUNTIF(Data!$A$2:$A$201,A24)</f>
        <v>4</v>
      </c>
      <c r="C24" s="38">
        <f>SUMIFS(Data!$E$2:$E$201,Data!$A$2:$A$201,A24)</f>
        <v>4413.71</v>
      </c>
      <c r="D24" s="38">
        <f>SUMIFS(Data!$I$2:$I$201,Data!$A$2:$A$201,A24)</f>
        <v>1664.79</v>
      </c>
      <c r="E24" s="39">
        <f t="shared" si="0"/>
        <v>0.37718608608177701</v>
      </c>
      <c r="F24" s="37">
        <f t="shared" si="1"/>
        <v>23</v>
      </c>
      <c r="G24" s="37">
        <f>F24+COUNTIF($F$5:F24,F24)-1</f>
        <v>23</v>
      </c>
      <c r="H24" s="37" t="str">
        <f t="shared" si="2"/>
        <v>Standard</v>
      </c>
    </row>
    <row r="25" spans="1:8" x14ac:dyDescent="0.3">
      <c r="A25" s="37" t="s">
        <v>74</v>
      </c>
      <c r="B25" s="37">
        <f>COUNTIF(Data!$A$2:$A$201,A25)</f>
        <v>8</v>
      </c>
      <c r="C25" s="38">
        <f>SUMIFS(Data!$E$2:$E$201,Data!$A$2:$A$201,A25)</f>
        <v>8740.18</v>
      </c>
      <c r="D25" s="38">
        <f>SUMIFS(Data!$I$2:$I$201,Data!$A$2:$A$201,A25)</f>
        <v>2848.62</v>
      </c>
      <c r="E25" s="39">
        <f t="shared" si="0"/>
        <v>0.32592234942529785</v>
      </c>
      <c r="F25" s="37">
        <f t="shared" si="1"/>
        <v>6</v>
      </c>
      <c r="G25" s="37">
        <f>F25+COUNTIF($F$5:F25,F25)-1</f>
        <v>6</v>
      </c>
      <c r="H25" s="37" t="str">
        <f t="shared" si="2"/>
        <v>High Value</v>
      </c>
    </row>
    <row r="26" spans="1:8" x14ac:dyDescent="0.3">
      <c r="A26" s="37" t="s">
        <v>66</v>
      </c>
      <c r="B26" s="37">
        <f>COUNTIF(Data!$A$2:$A$201,A26)</f>
        <v>5</v>
      </c>
      <c r="C26" s="38">
        <f>SUMIFS(Data!$E$2:$E$201,Data!$A$2:$A$201,A26)</f>
        <v>4418.2800000000007</v>
      </c>
      <c r="D26" s="38">
        <f>SUMIFS(Data!$I$2:$I$201,Data!$A$2:$A$201,A26)</f>
        <v>1605.23</v>
      </c>
      <c r="E26" s="39">
        <f t="shared" si="0"/>
        <v>0.36331558887168758</v>
      </c>
      <c r="F26" s="37">
        <f t="shared" si="1"/>
        <v>22</v>
      </c>
      <c r="G26" s="37">
        <f>F26+COUNTIF($F$5:F26,F26)-1</f>
        <v>22</v>
      </c>
      <c r="H26" s="37" t="str">
        <f t="shared" si="2"/>
        <v>Standard</v>
      </c>
    </row>
    <row r="27" spans="1:8" x14ac:dyDescent="0.3">
      <c r="A27" s="37" t="s">
        <v>57</v>
      </c>
      <c r="B27" s="37">
        <f>COUNTIF(Data!$A$2:$A$201,A27)</f>
        <v>7</v>
      </c>
      <c r="C27" s="38">
        <f>SUMIFS(Data!$E$2:$E$201,Data!$A$2:$A$201,A27)</f>
        <v>5913.68</v>
      </c>
      <c r="D27" s="38">
        <f>SUMIFS(Data!$I$2:$I$201,Data!$A$2:$A$201,A27)</f>
        <v>2198.62</v>
      </c>
      <c r="E27" s="39">
        <f t="shared" si="0"/>
        <v>0.37178541956954042</v>
      </c>
      <c r="F27" s="37">
        <f t="shared" si="1"/>
        <v>18</v>
      </c>
      <c r="G27" s="37">
        <f>F27+COUNTIF($F$5:F27,F27)-1</f>
        <v>18</v>
      </c>
      <c r="H27" s="37" t="str">
        <f t="shared" si="2"/>
        <v>Standard</v>
      </c>
    </row>
    <row r="28" spans="1:8" x14ac:dyDescent="0.3">
      <c r="A28" s="37" t="s">
        <v>87</v>
      </c>
      <c r="B28" s="37">
        <f>COUNTIF(Data!$A$2:$A$201,A28)</f>
        <v>7</v>
      </c>
      <c r="C28" s="38">
        <f>SUMIFS(Data!$E$2:$E$201,Data!$A$2:$A$201,A28)</f>
        <v>7583.1299999999992</v>
      </c>
      <c r="D28" s="38">
        <f>SUMIFS(Data!$I$2:$I$201,Data!$A$2:$A$201,A28)</f>
        <v>2492.1</v>
      </c>
      <c r="E28" s="39">
        <f t="shared" si="0"/>
        <v>0.32863738324412217</v>
      </c>
      <c r="F28" s="37">
        <f t="shared" si="1"/>
        <v>11</v>
      </c>
      <c r="G28" s="37">
        <f>F28+COUNTIF($F$5:F28,F28)-1</f>
        <v>11</v>
      </c>
      <c r="H28" s="37" t="str">
        <f t="shared" si="2"/>
        <v>Standard</v>
      </c>
    </row>
    <row r="29" spans="1:8" x14ac:dyDescent="0.3">
      <c r="A29" s="37" t="s">
        <v>71</v>
      </c>
      <c r="B29" s="37">
        <f>COUNTIF(Data!$A$2:$A$201,A29)</f>
        <v>6</v>
      </c>
      <c r="C29" s="38">
        <f>SUMIFS(Data!$E$2:$E$201,Data!$A$2:$A$201,A29)</f>
        <v>6716.52</v>
      </c>
      <c r="D29" s="38">
        <f>SUMIFS(Data!$I$2:$I$201,Data!$A$2:$A$201,A29)</f>
        <v>2327.84</v>
      </c>
      <c r="E29" s="39">
        <f t="shared" si="0"/>
        <v>0.34658424303061702</v>
      </c>
      <c r="F29" s="37">
        <f t="shared" si="1"/>
        <v>13</v>
      </c>
      <c r="G29" s="37">
        <f>F29+COUNTIF($F$5:F29,F29)-1</f>
        <v>13</v>
      </c>
      <c r="H29" s="37" t="str">
        <f t="shared" si="2"/>
        <v>Standard</v>
      </c>
    </row>
    <row r="30" spans="1:8" x14ac:dyDescent="0.3">
      <c r="A30" s="37" t="s">
        <v>47</v>
      </c>
      <c r="B30" s="37">
        <f>COUNTIF(Data!$A$2:$A$201,A30)</f>
        <v>9</v>
      </c>
      <c r="C30" s="38">
        <f>SUMIFS(Data!$E$2:$E$201,Data!$A$2:$A$201,A30)</f>
        <v>9371.81</v>
      </c>
      <c r="D30" s="38">
        <f>SUMIFS(Data!$I$2:$I$201,Data!$A$2:$A$201,A30)</f>
        <v>2922.0199999999995</v>
      </c>
      <c r="E30" s="39">
        <f t="shared" si="0"/>
        <v>0.31178822447318072</v>
      </c>
      <c r="F30" s="37">
        <f t="shared" si="1"/>
        <v>5</v>
      </c>
      <c r="G30" s="37">
        <f>F30+COUNTIF($F$5:F30,F30)-1</f>
        <v>5</v>
      </c>
      <c r="H30" s="37" t="str">
        <f t="shared" si="2"/>
        <v>High Value</v>
      </c>
    </row>
    <row r="31" spans="1:8" x14ac:dyDescent="0.3">
      <c r="A31" s="37" t="s">
        <v>91</v>
      </c>
      <c r="B31" s="37">
        <f>COUNTIF(Data!$A$2:$A$201,A31)</f>
        <v>5</v>
      </c>
      <c r="C31" s="38">
        <f>SUMIFS(Data!$E$2:$E$201,Data!$A$2:$A$201,A31)</f>
        <v>3906.04</v>
      </c>
      <c r="D31" s="38">
        <f>SUMIFS(Data!$I$2:$I$201,Data!$A$2:$A$201,A31)</f>
        <v>1240.6500000000001</v>
      </c>
      <c r="E31" s="39">
        <f t="shared" si="0"/>
        <v>0.31762347543803959</v>
      </c>
      <c r="F31" s="37">
        <f t="shared" si="1"/>
        <v>26</v>
      </c>
      <c r="G31" s="37">
        <f>F31+COUNTIF($F$5:F31,F31)-1</f>
        <v>26</v>
      </c>
      <c r="H31" s="37" t="str">
        <f t="shared" si="2"/>
        <v>Standard</v>
      </c>
    </row>
    <row r="32" spans="1:8" x14ac:dyDescent="0.3">
      <c r="A32" s="37" t="s">
        <v>69</v>
      </c>
      <c r="B32" s="37">
        <f>COUNTIF(Data!$A$2:$A$201,A32)</f>
        <v>12</v>
      </c>
      <c r="C32" s="38">
        <f>SUMIFS(Data!$E$2:$E$201,Data!$A$2:$A$201,A32)</f>
        <v>10293.870000000001</v>
      </c>
      <c r="D32" s="38">
        <f>SUMIFS(Data!$I$2:$I$201,Data!$A$2:$A$201,A32)</f>
        <v>3541.02</v>
      </c>
      <c r="E32" s="39">
        <f t="shared" si="0"/>
        <v>0.34399307549055891</v>
      </c>
      <c r="F32" s="37">
        <f t="shared" si="1"/>
        <v>2</v>
      </c>
      <c r="G32" s="37">
        <f>F32+COUNTIF($F$5:F32,F32)-1</f>
        <v>2</v>
      </c>
      <c r="H32" s="37" t="str">
        <f t="shared" si="2"/>
        <v>High Value</v>
      </c>
    </row>
    <row r="33" spans="1:8" x14ac:dyDescent="0.3">
      <c r="A33" s="37" t="s">
        <v>58</v>
      </c>
      <c r="B33" s="37">
        <f>COUNTIF(Data!$A$2:$A$201,A33)</f>
        <v>7</v>
      </c>
      <c r="C33" s="38">
        <f>SUMIFS(Data!$E$2:$E$201,Data!$A$2:$A$201,A33)</f>
        <v>5779.05</v>
      </c>
      <c r="D33" s="38">
        <f>SUMIFS(Data!$I$2:$I$201,Data!$A$2:$A$201,A33)</f>
        <v>1611.6599999999999</v>
      </c>
      <c r="E33" s="39">
        <f t="shared" si="0"/>
        <v>0.27887974667116566</v>
      </c>
      <c r="F33" s="37">
        <f t="shared" si="1"/>
        <v>19</v>
      </c>
      <c r="G33" s="37">
        <f>F33+COUNTIF($F$5:F33,F33)-1</f>
        <v>19</v>
      </c>
      <c r="H33" s="37" t="str">
        <f t="shared" si="2"/>
        <v>Standard</v>
      </c>
    </row>
    <row r="34" spans="1:8" x14ac:dyDescent="0.3">
      <c r="A34" s="37" t="s">
        <v>39</v>
      </c>
      <c r="B34" s="37">
        <f>COUNTIF(Data!$A$2:$A$201,A34)</f>
        <v>9</v>
      </c>
      <c r="C34" s="38">
        <f>SUMIFS(Data!$E$2:$E$201,Data!$A$2:$A$201,A34)</f>
        <v>7928.71</v>
      </c>
      <c r="D34" s="38">
        <f>SUMIFS(Data!$I$2:$I$201,Data!$A$2:$A$201,A34)</f>
        <v>2965.4799999999996</v>
      </c>
      <c r="E34" s="39">
        <f t="shared" si="0"/>
        <v>0.37401796761389933</v>
      </c>
      <c r="F34" s="37">
        <f t="shared" si="1"/>
        <v>9</v>
      </c>
      <c r="G34" s="37">
        <f>F34+COUNTIF($F$5:F34,F34)-1</f>
        <v>9</v>
      </c>
      <c r="H34" s="37" t="str">
        <f t="shared" si="2"/>
        <v>Standard</v>
      </c>
    </row>
  </sheetData>
  <autoFilter ref="A4:H34" xr:uid="{00000000-0009-0000-0000-000002000000}"/>
  <mergeCells count="1">
    <mergeCell ref="A1:I1"/>
  </mergeCells>
  <conditionalFormatting sqref="C5:C34">
    <cfRule type="top10" dxfId="4" priority="2" rank="10"/>
  </conditionalFormatting>
  <conditionalFormatting sqref="A5:A34">
    <cfRule type="expression" dxfId="3" priority="3">
      <formula>$F5&lt;=10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3"/>
  <sheetViews>
    <sheetView tabSelected="1" zoomScaleNormal="100" workbookViewId="0">
      <selection activeCell="F43" sqref="F43"/>
    </sheetView>
  </sheetViews>
  <sheetFormatPr defaultColWidth="8.6640625" defaultRowHeight="14.4" x14ac:dyDescent="0.3"/>
  <cols>
    <col min="1" max="1" width="50" customWidth="1"/>
    <col min="2" max="3" width="16" customWidth="1"/>
    <col min="4" max="4" width="18" customWidth="1"/>
    <col min="5" max="5" width="3" customWidth="1"/>
    <col min="6" max="6" width="14" customWidth="1"/>
    <col min="7" max="11" width="13" customWidth="1"/>
  </cols>
  <sheetData>
    <row r="1" spans="1:4" ht="17.399999999999999" x14ac:dyDescent="0.3">
      <c r="A1" s="35" t="s">
        <v>113</v>
      </c>
      <c r="B1" s="35"/>
      <c r="C1" s="35"/>
      <c r="D1" s="35"/>
    </row>
    <row r="2" spans="1:4" x14ac:dyDescent="0.3">
      <c r="A2" s="1" t="s">
        <v>114</v>
      </c>
    </row>
    <row r="4" spans="1:4" x14ac:dyDescent="0.3">
      <c r="A4" s="13" t="s">
        <v>115</v>
      </c>
      <c r="B4" s="15">
        <f>SUM(Data!$J$2:$J$201)</f>
        <v>218027.19397918813</v>
      </c>
    </row>
    <row r="5" spans="1:4" x14ac:dyDescent="0.3">
      <c r="A5" s="13" t="s">
        <v>116</v>
      </c>
      <c r="B5" s="20">
        <f>SUM(Data!$K$2:$K$201)</f>
        <v>126930.74999999999</v>
      </c>
    </row>
    <row r="6" spans="1:4" x14ac:dyDescent="0.3">
      <c r="A6" s="13" t="s">
        <v>117</v>
      </c>
      <c r="B6" s="15">
        <f>1-SUM(Data!$E$2:$E$201)/SUM(Data!$J$2:$J$201)</f>
        <v>0.10461738080876959</v>
      </c>
    </row>
    <row r="7" spans="1:4" x14ac:dyDescent="0.3">
      <c r="A7" s="13" t="s">
        <v>118</v>
      </c>
      <c r="B7" s="20">
        <f>SUM(Data!$I$2:$I$201)</f>
        <v>68287.010000000009</v>
      </c>
    </row>
    <row r="9" spans="1:4" x14ac:dyDescent="0.3">
      <c r="A9" s="17" t="s">
        <v>119</v>
      </c>
    </row>
    <row r="10" spans="1:4" x14ac:dyDescent="0.3">
      <c r="A10" s="13" t="s">
        <v>120</v>
      </c>
      <c r="B10" s="21">
        <v>0.1</v>
      </c>
    </row>
    <row r="11" spans="1:4" x14ac:dyDescent="0.3">
      <c r="A11" s="13" t="s">
        <v>121</v>
      </c>
      <c r="B11" s="22">
        <v>2</v>
      </c>
      <c r="C11" s="1" t="s">
        <v>122</v>
      </c>
    </row>
    <row r="13" spans="1:4" x14ac:dyDescent="0.3">
      <c r="A13" s="17" t="s">
        <v>123</v>
      </c>
    </row>
    <row r="14" spans="1:4" x14ac:dyDescent="0.3">
      <c r="A14" s="13" t="s">
        <v>124</v>
      </c>
      <c r="B14" s="15">
        <f>B11*(B10-B6)</f>
        <v>-9.2347616175391667E-3</v>
      </c>
    </row>
    <row r="15" spans="1:4" x14ac:dyDescent="0.3">
      <c r="A15" s="13" t="s">
        <v>125</v>
      </c>
      <c r="B15" s="23">
        <f>(B4*(1-B10)-B5)*(1+B14)</f>
        <v>68653.813553169894</v>
      </c>
    </row>
    <row r="16" spans="1:4" x14ac:dyDescent="0.3">
      <c r="A16" s="13" t="s">
        <v>126</v>
      </c>
      <c r="B16" s="23">
        <f>B15-B7</f>
        <v>366.80355316988425</v>
      </c>
    </row>
    <row r="17" spans="1:11" x14ac:dyDescent="0.3">
      <c r="A17" s="13" t="s">
        <v>127</v>
      </c>
      <c r="B17" s="15">
        <f>IF(B7=0,0,B16/B7)</f>
        <v>5.3714982274064163E-3</v>
      </c>
    </row>
    <row r="19" spans="1:11" x14ac:dyDescent="0.3">
      <c r="A19" s="17" t="s">
        <v>128</v>
      </c>
      <c r="F19" s="17" t="s">
        <v>129</v>
      </c>
    </row>
    <row r="20" spans="1:11" x14ac:dyDescent="0.3">
      <c r="A20" s="10" t="s">
        <v>130</v>
      </c>
      <c r="B20" s="10" t="s">
        <v>124</v>
      </c>
      <c r="C20" s="10" t="s">
        <v>2</v>
      </c>
      <c r="D20" s="10" t="s">
        <v>131</v>
      </c>
      <c r="F20" s="24" t="s">
        <v>132</v>
      </c>
      <c r="G20" s="25">
        <v>0</v>
      </c>
      <c r="H20" s="25">
        <v>1</v>
      </c>
      <c r="I20" s="25">
        <v>2</v>
      </c>
      <c r="J20" s="25">
        <v>3</v>
      </c>
      <c r="K20" s="25">
        <v>4</v>
      </c>
    </row>
    <row r="21" spans="1:11" x14ac:dyDescent="0.3">
      <c r="A21" s="26">
        <v>0</v>
      </c>
      <c r="B21" s="15">
        <f t="shared" ref="B21:B33" si="0">$B$11*(A21-$B$6)</f>
        <v>-0.20923476161753918</v>
      </c>
      <c r="C21" s="23">
        <f t="shared" ref="C21:C33" si="1">($B$4*(1-A21)-$B$5)*(1+B21)</f>
        <v>72035.901238997205</v>
      </c>
      <c r="D21" s="23">
        <f t="shared" ref="D21:D33" si="2">C21-$B$7</f>
        <v>3748.8912389971956</v>
      </c>
      <c r="F21" s="27">
        <v>0</v>
      </c>
      <c r="G21" s="23">
        <f t="shared" ref="G21:K27" si="3">($B$4*(1-$F21)-$B$5)*(1+G$20*($F21-$B$6))</f>
        <v>91096.443979188145</v>
      </c>
      <c r="H21" s="23">
        <f t="shared" si="3"/>
        <v>81566.172609092668</v>
      </c>
      <c r="I21" s="23">
        <f t="shared" si="3"/>
        <v>72035.901238997205</v>
      </c>
      <c r="J21" s="23">
        <f t="shared" si="3"/>
        <v>62505.629868901728</v>
      </c>
      <c r="K21" s="23">
        <f t="shared" si="3"/>
        <v>52975.358498806258</v>
      </c>
    </row>
    <row r="22" spans="1:11" x14ac:dyDescent="0.3">
      <c r="A22" s="26">
        <v>2.5000000000000001E-2</v>
      </c>
      <c r="B22" s="15">
        <f t="shared" si="0"/>
        <v>-0.15923476161753919</v>
      </c>
      <c r="C22" s="23">
        <f t="shared" si="1"/>
        <v>72007.981294962345</v>
      </c>
      <c r="D22" s="23">
        <f t="shared" si="2"/>
        <v>3720.9712949623354</v>
      </c>
      <c r="F22" s="27">
        <v>0.05</v>
      </c>
      <c r="G22" s="23">
        <f t="shared" si="3"/>
        <v>80195.084280228722</v>
      </c>
      <c r="H22" s="23">
        <f t="shared" si="3"/>
        <v>75815.0388231041</v>
      </c>
      <c r="I22" s="23">
        <f t="shared" si="3"/>
        <v>71434.993365979477</v>
      </c>
      <c r="J22" s="23">
        <f t="shared" si="3"/>
        <v>67054.947908854854</v>
      </c>
      <c r="K22" s="23">
        <f t="shared" si="3"/>
        <v>62674.902451730224</v>
      </c>
    </row>
    <row r="23" spans="1:11" x14ac:dyDescent="0.3">
      <c r="A23" s="26">
        <v>0.05</v>
      </c>
      <c r="B23" s="15">
        <f t="shared" si="0"/>
        <v>-0.10923476161753917</v>
      </c>
      <c r="C23" s="23">
        <f t="shared" si="1"/>
        <v>71434.993365979477</v>
      </c>
      <c r="D23" s="23">
        <f t="shared" si="2"/>
        <v>3147.9833659794676</v>
      </c>
      <c r="F23" s="27">
        <v>0.1</v>
      </c>
      <c r="G23" s="23">
        <f t="shared" si="3"/>
        <v>69293.724581269329</v>
      </c>
      <c r="H23" s="23">
        <f t="shared" si="3"/>
        <v>68973.769067219604</v>
      </c>
      <c r="I23" s="23">
        <f t="shared" si="3"/>
        <v>68653.813553169894</v>
      </c>
      <c r="J23" s="23">
        <f t="shared" si="3"/>
        <v>68333.858039120183</v>
      </c>
      <c r="K23" s="23">
        <f t="shared" si="3"/>
        <v>68013.902525070458</v>
      </c>
    </row>
    <row r="24" spans="1:11" x14ac:dyDescent="0.3">
      <c r="A24" s="26">
        <v>7.4999999999999997E-2</v>
      </c>
      <c r="B24" s="15">
        <f t="shared" si="0"/>
        <v>-5.9234761617539183E-2</v>
      </c>
      <c r="C24" s="23">
        <f t="shared" si="1"/>
        <v>70316.937452048704</v>
      </c>
      <c r="D24" s="23">
        <f t="shared" si="2"/>
        <v>2029.9274520486942</v>
      </c>
      <c r="F24" s="27">
        <v>0.15</v>
      </c>
      <c r="G24" s="23">
        <f t="shared" si="3"/>
        <v>58392.364882309907</v>
      </c>
      <c r="H24" s="23">
        <f t="shared" si="3"/>
        <v>61042.363341439144</v>
      </c>
      <c r="I24" s="23">
        <f t="shared" si="3"/>
        <v>63692.361800568404</v>
      </c>
      <c r="J24" s="23">
        <f t="shared" si="3"/>
        <v>66342.360259697642</v>
      </c>
      <c r="K24" s="23">
        <f t="shared" si="3"/>
        <v>68992.358718826901</v>
      </c>
    </row>
    <row r="25" spans="1:11" x14ac:dyDescent="0.3">
      <c r="A25" s="26">
        <v>0.1</v>
      </c>
      <c r="B25" s="15">
        <f t="shared" si="0"/>
        <v>-9.2347616175391667E-3</v>
      </c>
      <c r="C25" s="23">
        <f t="shared" si="1"/>
        <v>68653.813553169894</v>
      </c>
      <c r="D25" s="23">
        <f t="shared" si="2"/>
        <v>366.80355316988425</v>
      </c>
      <c r="F25" s="27">
        <v>0.2</v>
      </c>
      <c r="G25" s="23">
        <f t="shared" si="3"/>
        <v>47491.005183350542</v>
      </c>
      <c r="H25" s="23">
        <f t="shared" si="3"/>
        <v>52020.821645762815</v>
      </c>
      <c r="I25" s="23">
        <f t="shared" si="3"/>
        <v>56550.638108175088</v>
      </c>
      <c r="J25" s="23">
        <f t="shared" si="3"/>
        <v>61080.454570587368</v>
      </c>
      <c r="K25" s="23">
        <f t="shared" si="3"/>
        <v>65610.271032999648</v>
      </c>
    </row>
    <row r="26" spans="1:11" x14ac:dyDescent="0.3">
      <c r="A26" s="26">
        <v>0.125</v>
      </c>
      <c r="B26" s="15">
        <f t="shared" si="0"/>
        <v>4.0765238382460822E-2</v>
      </c>
      <c r="C26" s="23">
        <f t="shared" si="1"/>
        <v>66445.621669343149</v>
      </c>
      <c r="D26" s="23">
        <f t="shared" si="2"/>
        <v>-1841.3883306568605</v>
      </c>
      <c r="F26" s="27">
        <v>0.25</v>
      </c>
      <c r="G26" s="23">
        <f t="shared" si="3"/>
        <v>36589.64548439112</v>
      </c>
      <c r="H26" s="23">
        <f t="shared" si="3"/>
        <v>41909.143980190478</v>
      </c>
      <c r="I26" s="23">
        <f t="shared" si="3"/>
        <v>47228.642475989836</v>
      </c>
      <c r="J26" s="23">
        <f t="shared" si="3"/>
        <v>52548.140971789195</v>
      </c>
      <c r="K26" s="23">
        <f t="shared" si="3"/>
        <v>57867.639467588553</v>
      </c>
    </row>
    <row r="27" spans="1:11" x14ac:dyDescent="0.3">
      <c r="A27" s="26">
        <v>0.15</v>
      </c>
      <c r="B27" s="15">
        <f t="shared" si="0"/>
        <v>9.0765238382460811E-2</v>
      </c>
      <c r="C27" s="23">
        <f t="shared" si="1"/>
        <v>63692.361800568404</v>
      </c>
      <c r="D27" s="23">
        <f t="shared" si="2"/>
        <v>-4594.6481994316055</v>
      </c>
      <c r="F27" s="27">
        <v>0.3</v>
      </c>
      <c r="G27" s="23">
        <f t="shared" si="3"/>
        <v>25688.285785431697</v>
      </c>
      <c r="H27" s="23">
        <f t="shared" si="3"/>
        <v>30707.330344722195</v>
      </c>
      <c r="I27" s="23">
        <f t="shared" si="3"/>
        <v>35726.374904012693</v>
      </c>
      <c r="J27" s="23">
        <f t="shared" si="3"/>
        <v>40745.419463303188</v>
      </c>
      <c r="K27" s="23">
        <f t="shared" si="3"/>
        <v>45764.464022593689</v>
      </c>
    </row>
    <row r="28" spans="1:11" x14ac:dyDescent="0.3">
      <c r="A28" s="26">
        <v>0.17499999999999999</v>
      </c>
      <c r="B28" s="15">
        <f t="shared" si="0"/>
        <v>0.1407652383824608</v>
      </c>
      <c r="C28" s="23">
        <f t="shared" si="1"/>
        <v>60394.033946845717</v>
      </c>
      <c r="D28" s="23">
        <f t="shared" si="2"/>
        <v>-7892.9760531542925</v>
      </c>
    </row>
    <row r="29" spans="1:11" x14ac:dyDescent="0.3">
      <c r="A29" s="26">
        <v>0.2</v>
      </c>
      <c r="B29" s="15">
        <f t="shared" si="0"/>
        <v>0.19076523838246084</v>
      </c>
      <c r="C29" s="23">
        <f t="shared" si="1"/>
        <v>56550.638108175088</v>
      </c>
      <c r="D29" s="23">
        <f t="shared" si="2"/>
        <v>-11736.371891824921</v>
      </c>
      <c r="F29" s="1" t="s">
        <v>133</v>
      </c>
    </row>
    <row r="30" spans="1:11" x14ac:dyDescent="0.3">
      <c r="A30" s="26">
        <v>0.22500000000000001</v>
      </c>
      <c r="B30" s="15">
        <f t="shared" si="0"/>
        <v>0.24076523838246083</v>
      </c>
      <c r="C30" s="23">
        <f t="shared" si="1"/>
        <v>52162.174284556429</v>
      </c>
      <c r="D30" s="23">
        <f t="shared" si="2"/>
        <v>-16124.83571544358</v>
      </c>
    </row>
    <row r="31" spans="1:11" x14ac:dyDescent="0.3">
      <c r="A31" s="26">
        <v>0.25</v>
      </c>
      <c r="B31" s="15">
        <f t="shared" si="0"/>
        <v>0.29076523838246082</v>
      </c>
      <c r="C31" s="23">
        <f t="shared" si="1"/>
        <v>47228.642475989836</v>
      </c>
      <c r="D31" s="23">
        <f t="shared" si="2"/>
        <v>-21058.367524010173</v>
      </c>
    </row>
    <row r="32" spans="1:11" x14ac:dyDescent="0.3">
      <c r="A32" s="26">
        <v>0.27500000000000002</v>
      </c>
      <c r="B32" s="15">
        <f t="shared" si="0"/>
        <v>0.34076523838246087</v>
      </c>
      <c r="C32" s="23">
        <f t="shared" si="1"/>
        <v>41750.042682475229</v>
      </c>
      <c r="D32" s="23">
        <f t="shared" si="2"/>
        <v>-26536.967317524781</v>
      </c>
    </row>
    <row r="33" spans="1:4" x14ac:dyDescent="0.3">
      <c r="A33" s="26">
        <v>0.3</v>
      </c>
      <c r="B33" s="15">
        <f t="shared" si="0"/>
        <v>0.3907652383824608</v>
      </c>
      <c r="C33" s="23">
        <f t="shared" si="1"/>
        <v>35726.374904012693</v>
      </c>
      <c r="D33" s="23">
        <f t="shared" si="2"/>
        <v>-32560.635095987316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8"/>
  <sheetViews>
    <sheetView zoomScaleNormal="100" workbookViewId="0">
      <selection sqref="A1:G1"/>
    </sheetView>
  </sheetViews>
  <sheetFormatPr defaultColWidth="8.6640625" defaultRowHeight="14.4" x14ac:dyDescent="0.3"/>
  <cols>
    <col min="1" max="1" width="20" customWidth="1"/>
    <col min="2" max="3" width="15" customWidth="1"/>
    <col min="4" max="5" width="13" customWidth="1"/>
    <col min="6" max="6" width="15" customWidth="1"/>
    <col min="7" max="7" width="13" customWidth="1"/>
  </cols>
  <sheetData>
    <row r="1" spans="1:7" ht="17.399999999999999" x14ac:dyDescent="0.3">
      <c r="A1" s="35" t="s">
        <v>134</v>
      </c>
      <c r="B1" s="35"/>
      <c r="C1" s="35"/>
      <c r="D1" s="35"/>
      <c r="E1" s="35"/>
      <c r="F1" s="35"/>
      <c r="G1" s="35"/>
    </row>
    <row r="2" spans="1:7" x14ac:dyDescent="0.3">
      <c r="A2" s="1" t="s">
        <v>135</v>
      </c>
    </row>
    <row r="4" spans="1:7" x14ac:dyDescent="0.3">
      <c r="A4" s="17" t="s">
        <v>136</v>
      </c>
    </row>
    <row r="5" spans="1:7" x14ac:dyDescent="0.3">
      <c r="A5" s="13" t="s">
        <v>137</v>
      </c>
      <c r="B5" s="28">
        <f>SQRT(B6)</f>
        <v>0.77340306414342641</v>
      </c>
    </row>
    <row r="6" spans="1:7" x14ac:dyDescent="0.3">
      <c r="A6" s="13" t="s">
        <v>138</v>
      </c>
      <c r="B6" s="28">
        <f>RSQ(Data!$I$2:$I$201,Data!$E$2:$E$201)</f>
        <v>0.5981522996264409</v>
      </c>
    </row>
    <row r="7" spans="1:7" x14ac:dyDescent="0.3">
      <c r="A7" s="13" t="s">
        <v>139</v>
      </c>
      <c r="B7" s="28">
        <f>1-(1-B6)*(B9-1)/(B9-2)</f>
        <v>0.59612276578617041</v>
      </c>
    </row>
    <row r="8" spans="1:7" x14ac:dyDescent="0.3">
      <c r="A8" s="13" t="s">
        <v>140</v>
      </c>
      <c r="B8" s="28">
        <f>STEYX(Data!$I$2:$I$201,Data!$E$2:$E$201)</f>
        <v>86.281230529665095</v>
      </c>
    </row>
    <row r="9" spans="1:7" x14ac:dyDescent="0.3">
      <c r="A9" s="13" t="s">
        <v>141</v>
      </c>
      <c r="B9" s="19">
        <f>COUNT(Data!$E$2:$E$201)</f>
        <v>200</v>
      </c>
    </row>
    <row r="11" spans="1:7" x14ac:dyDescent="0.3">
      <c r="A11" s="17" t="s">
        <v>142</v>
      </c>
    </row>
    <row r="12" spans="1:7" x14ac:dyDescent="0.3">
      <c r="A12" s="10"/>
      <c r="B12" s="10" t="s">
        <v>143</v>
      </c>
      <c r="C12" s="10" t="s">
        <v>144</v>
      </c>
      <c r="D12" s="10" t="s">
        <v>145</v>
      </c>
      <c r="E12" s="10" t="s">
        <v>146</v>
      </c>
      <c r="F12" s="10" t="s">
        <v>147</v>
      </c>
    </row>
    <row r="13" spans="1:7" x14ac:dyDescent="0.3">
      <c r="A13" s="29" t="s">
        <v>148</v>
      </c>
      <c r="B13" s="11">
        <v>1</v>
      </c>
      <c r="C13" s="12">
        <f>B6*C15</f>
        <v>2194058.1833402836</v>
      </c>
      <c r="D13" s="12">
        <f>C13/B13</f>
        <v>2194058.1833402836</v>
      </c>
      <c r="E13" s="12">
        <f>D13/D14</f>
        <v>294.72398427548166</v>
      </c>
      <c r="F13" s="30">
        <f>FDIST(E13,B13,B14)</f>
        <v>4.6269367558905227E-41</v>
      </c>
    </row>
    <row r="14" spans="1:7" x14ac:dyDescent="0.3">
      <c r="A14" s="29" t="s">
        <v>149</v>
      </c>
      <c r="B14" s="11">
        <f>B9-2</f>
        <v>198</v>
      </c>
      <c r="C14" s="12">
        <f>C15-C13</f>
        <v>1474001.2468592166</v>
      </c>
      <c r="D14" s="12">
        <f>C14/B14</f>
        <v>7444.4507417132154</v>
      </c>
      <c r="E14" s="12"/>
      <c r="F14" s="11"/>
    </row>
    <row r="15" spans="1:7" x14ac:dyDescent="0.3">
      <c r="A15" s="29" t="s">
        <v>150</v>
      </c>
      <c r="B15" s="11">
        <f>B9-1</f>
        <v>199</v>
      </c>
      <c r="C15" s="12">
        <f>DEVSQ(Data!$I$2:$I$201)</f>
        <v>3668059.4301995002</v>
      </c>
      <c r="D15" s="12"/>
      <c r="E15" s="12"/>
      <c r="F15" s="11"/>
    </row>
    <row r="17" spans="1:7" x14ac:dyDescent="0.3">
      <c r="A17" s="17" t="s">
        <v>151</v>
      </c>
    </row>
    <row r="18" spans="1:7" x14ac:dyDescent="0.3">
      <c r="A18" s="10"/>
      <c r="B18" s="10" t="s">
        <v>151</v>
      </c>
      <c r="C18" s="10" t="s">
        <v>140</v>
      </c>
      <c r="D18" s="10" t="s">
        <v>152</v>
      </c>
      <c r="E18" s="10" t="s">
        <v>153</v>
      </c>
      <c r="F18" s="10" t="s">
        <v>154</v>
      </c>
      <c r="G18" s="10" t="s">
        <v>155</v>
      </c>
    </row>
    <row r="19" spans="1:7" x14ac:dyDescent="0.3">
      <c r="A19" s="31" t="s">
        <v>156</v>
      </c>
      <c r="B19" s="28">
        <f>INTERCEPT(Data!$I$2:$I$201,Data!$E$2:$E$201)</f>
        <v>-1.0315504901910799</v>
      </c>
      <c r="C19" s="28">
        <f>B8*SQRT(1/B9+AVERAGE(Data!$E$2:$E$201)^2/DEVSQ(Data!$E$2:$E$201))</f>
        <v>20.86061700544548</v>
      </c>
      <c r="D19" s="28">
        <f>B19/C19</f>
        <v>-4.9449663445803295E-2</v>
      </c>
      <c r="E19" s="28">
        <f>TDIST(ABS(D19),$B$14,2)</f>
        <v>0.9606107969690767</v>
      </c>
      <c r="F19" s="28">
        <f>B19-TINV(0.05,$B$14)*C19</f>
        <v>-42.169051823378858</v>
      </c>
      <c r="G19" s="28">
        <f>B19+TINV(0.05,$B$14)*C19</f>
        <v>40.105950842996698</v>
      </c>
    </row>
    <row r="20" spans="1:7" x14ac:dyDescent="0.3">
      <c r="A20" s="31" t="s">
        <v>157</v>
      </c>
      <c r="B20" s="28">
        <f>SLOPE(Data!$I$2:$I$201,Data!$E$2:$E$201)</f>
        <v>0.35085598819512248</v>
      </c>
      <c r="C20" s="28">
        <f>B8/SQRT(DEVSQ(Data!$E$2:$E$201))</f>
        <v>2.0437188630135609E-2</v>
      </c>
      <c r="D20" s="28">
        <f>B20/C20</f>
        <v>17.167527028535059</v>
      </c>
      <c r="E20" s="28">
        <f>TDIST(ABS(D20),$B$14,2)</f>
        <v>4.6269367558904575E-41</v>
      </c>
      <c r="F20" s="28">
        <f>B20-TINV(0.05,$B$14)*C20</f>
        <v>0.31055349501865759</v>
      </c>
      <c r="G20" s="28">
        <f>B20+TINV(0.05,$B$14)*C20</f>
        <v>0.39115848137158737</v>
      </c>
    </row>
    <row r="22" spans="1:7" x14ac:dyDescent="0.3">
      <c r="A22" s="17" t="s">
        <v>158</v>
      </c>
    </row>
    <row r="23" spans="1:7" x14ac:dyDescent="0.3">
      <c r="A23" s="13" t="s">
        <v>159</v>
      </c>
      <c r="B23" s="14">
        <v>1000</v>
      </c>
    </row>
    <row r="24" spans="1:7" x14ac:dyDescent="0.3">
      <c r="A24" s="13" t="s">
        <v>160</v>
      </c>
      <c r="B24" s="12">
        <f>B19+B20*B23</f>
        <v>349.82443770493143</v>
      </c>
    </row>
    <row r="26" spans="1:7" x14ac:dyDescent="0.3">
      <c r="A26" s="17" t="s">
        <v>161</v>
      </c>
    </row>
    <row r="27" spans="1:7" x14ac:dyDescent="0.3">
      <c r="A27" s="9" t="str">
        <f>"Each extra 1 of Sales changes Profit by about "&amp;TEXT(B20,"0.000")&amp;". Sales explains "&amp;TEXT(B6,"0%")&amp;" of the variation in Profit."</f>
        <v>Each extra 1 of Sales changes Profit by about 0.351. Sales explains 60% of the variation in Profit.</v>
      </c>
    </row>
    <row r="28" spans="1:7" x14ac:dyDescent="0.3">
      <c r="A28" s="9" t="str">
        <f>IF(F13&lt;0.05,"P-value &lt; 0.05: the relationship is statistically significant.","P-value &gt;= 0.05: the relationship is NOT statistically significant.")</f>
        <v>P-value &lt; 0.05: the relationship is statistically significant.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1"/>
  <sheetViews>
    <sheetView zoomScaleNormal="100" workbookViewId="0">
      <pane ySplit="1" topLeftCell="A186" activePane="bottomLeft" state="frozen"/>
      <selection pane="bottomLeft" activeCell="A2" sqref="A2:L201"/>
    </sheetView>
  </sheetViews>
  <sheetFormatPr defaultColWidth="8.6640625" defaultRowHeight="14.4" x14ac:dyDescent="0.3"/>
  <cols>
    <col min="1" max="1" width="12" customWidth="1"/>
    <col min="2" max="2" width="19" customWidth="1"/>
    <col min="3" max="3" width="10" customWidth="1"/>
    <col min="4" max="4" width="17" customWidth="1"/>
    <col min="5" max="5" width="11" customWidth="1"/>
    <col min="6" max="7" width="10" customWidth="1"/>
    <col min="8" max="8" width="13" customWidth="1"/>
    <col min="9" max="9" width="11" customWidth="1"/>
    <col min="10" max="10" width="15" customWidth="1"/>
    <col min="11" max="11" width="14" customWidth="1"/>
    <col min="12" max="12" width="21" customWidth="1"/>
  </cols>
  <sheetData>
    <row r="1" spans="1:12" ht="31.5" customHeight="1" x14ac:dyDescent="0.3">
      <c r="A1" s="36" t="s">
        <v>14</v>
      </c>
      <c r="B1" s="36" t="s">
        <v>15</v>
      </c>
      <c r="C1" s="36" t="s">
        <v>16</v>
      </c>
      <c r="D1" s="36" t="s">
        <v>17</v>
      </c>
      <c r="E1" s="36" t="s">
        <v>18</v>
      </c>
      <c r="F1" s="36" t="s">
        <v>19</v>
      </c>
      <c r="G1" s="36" t="s">
        <v>20</v>
      </c>
      <c r="H1" s="36" t="s">
        <v>21</v>
      </c>
      <c r="I1" s="36" t="s">
        <v>22</v>
      </c>
      <c r="J1" s="36" t="s">
        <v>23</v>
      </c>
      <c r="K1" s="36" t="s">
        <v>24</v>
      </c>
      <c r="L1" s="36" t="s">
        <v>25</v>
      </c>
    </row>
    <row r="2" spans="1:12" x14ac:dyDescent="0.3">
      <c r="A2" s="37" t="s">
        <v>26</v>
      </c>
      <c r="B2" s="37" t="s">
        <v>27</v>
      </c>
      <c r="C2" s="37" t="s">
        <v>28</v>
      </c>
      <c r="D2" s="37" t="s">
        <v>29</v>
      </c>
      <c r="E2" s="38">
        <v>1036.0899999999999</v>
      </c>
      <c r="F2" s="37">
        <v>4</v>
      </c>
      <c r="G2" s="40">
        <v>0.2</v>
      </c>
      <c r="H2" s="41">
        <v>45392</v>
      </c>
      <c r="I2" s="38">
        <v>331.55</v>
      </c>
      <c r="J2" s="38">
        <f t="shared" ref="J2:J33" si="0">E2/(1-G2)</f>
        <v>1295.1124999999997</v>
      </c>
      <c r="K2" s="38">
        <f t="shared" ref="K2:K33" si="1">E2-I2</f>
        <v>704.54</v>
      </c>
      <c r="L2" s="42">
        <f t="shared" ref="L2:L33" ca="1" si="2">NOW()</f>
        <v>46323.405950462962</v>
      </c>
    </row>
    <row r="3" spans="1:12" x14ac:dyDescent="0.3">
      <c r="A3" s="37" t="s">
        <v>30</v>
      </c>
      <c r="B3" s="37" t="s">
        <v>31</v>
      </c>
      <c r="C3" s="37" t="s">
        <v>28</v>
      </c>
      <c r="D3" s="37" t="s">
        <v>32</v>
      </c>
      <c r="E3" s="38">
        <v>1101.28</v>
      </c>
      <c r="F3" s="37">
        <v>3</v>
      </c>
      <c r="G3" s="40">
        <v>0.2</v>
      </c>
      <c r="H3" s="41">
        <v>45393</v>
      </c>
      <c r="I3" s="38">
        <v>440.51</v>
      </c>
      <c r="J3" s="38">
        <f t="shared" si="0"/>
        <v>1376.6</v>
      </c>
      <c r="K3" s="38">
        <f t="shared" si="1"/>
        <v>660.77</v>
      </c>
      <c r="L3" s="42">
        <f t="shared" ca="1" si="2"/>
        <v>46323.405950462962</v>
      </c>
    </row>
    <row r="4" spans="1:12" x14ac:dyDescent="0.3">
      <c r="A4" s="37" t="s">
        <v>33</v>
      </c>
      <c r="B4" s="37" t="s">
        <v>34</v>
      </c>
      <c r="C4" s="37" t="s">
        <v>35</v>
      </c>
      <c r="D4" s="37" t="s">
        <v>29</v>
      </c>
      <c r="E4" s="38">
        <v>713.34</v>
      </c>
      <c r="F4" s="37">
        <v>17</v>
      </c>
      <c r="G4" s="40">
        <v>0</v>
      </c>
      <c r="H4" s="41">
        <v>45396</v>
      </c>
      <c r="I4" s="38">
        <v>285.33999999999997</v>
      </c>
      <c r="J4" s="38">
        <f t="shared" si="0"/>
        <v>713.34</v>
      </c>
      <c r="K4" s="38">
        <f t="shared" si="1"/>
        <v>428.00000000000006</v>
      </c>
      <c r="L4" s="42">
        <f t="shared" ca="1" si="2"/>
        <v>46323.405950462962</v>
      </c>
    </row>
    <row r="5" spans="1:12" x14ac:dyDescent="0.3">
      <c r="A5" s="37" t="s">
        <v>36</v>
      </c>
      <c r="B5" s="37" t="s">
        <v>31</v>
      </c>
      <c r="C5" s="37" t="s">
        <v>37</v>
      </c>
      <c r="D5" s="37" t="s">
        <v>38</v>
      </c>
      <c r="E5" s="38">
        <v>760.93</v>
      </c>
      <c r="F5" s="37">
        <v>4</v>
      </c>
      <c r="G5" s="40">
        <v>0.15</v>
      </c>
      <c r="H5" s="41">
        <v>45396</v>
      </c>
      <c r="I5" s="38">
        <v>161.69999999999999</v>
      </c>
      <c r="J5" s="38">
        <f t="shared" si="0"/>
        <v>895.21176470588227</v>
      </c>
      <c r="K5" s="38">
        <f t="shared" si="1"/>
        <v>599.23</v>
      </c>
      <c r="L5" s="42">
        <f t="shared" ca="1" si="2"/>
        <v>46323.405950462962</v>
      </c>
    </row>
    <row r="6" spans="1:12" x14ac:dyDescent="0.3">
      <c r="A6" s="37" t="s">
        <v>39</v>
      </c>
      <c r="B6" s="37" t="s">
        <v>40</v>
      </c>
      <c r="C6" s="37" t="s">
        <v>41</v>
      </c>
      <c r="D6" s="37" t="s">
        <v>29</v>
      </c>
      <c r="E6" s="38">
        <v>847</v>
      </c>
      <c r="F6" s="37">
        <v>12</v>
      </c>
      <c r="G6" s="40">
        <v>0.2</v>
      </c>
      <c r="H6" s="41">
        <v>45397</v>
      </c>
      <c r="I6" s="38">
        <v>271.04000000000002</v>
      </c>
      <c r="J6" s="38">
        <f t="shared" si="0"/>
        <v>1058.75</v>
      </c>
      <c r="K6" s="38">
        <f t="shared" si="1"/>
        <v>575.96</v>
      </c>
      <c r="L6" s="42">
        <f t="shared" ca="1" si="2"/>
        <v>46323.405950462962</v>
      </c>
    </row>
    <row r="7" spans="1:12" x14ac:dyDescent="0.3">
      <c r="A7" s="37" t="s">
        <v>42</v>
      </c>
      <c r="B7" s="37" t="s">
        <v>43</v>
      </c>
      <c r="C7" s="37" t="s">
        <v>41</v>
      </c>
      <c r="D7" s="37" t="s">
        <v>44</v>
      </c>
      <c r="E7" s="38">
        <v>965.64</v>
      </c>
      <c r="F7" s="37">
        <v>8</v>
      </c>
      <c r="G7" s="40">
        <v>0.1</v>
      </c>
      <c r="H7" s="41">
        <v>45398</v>
      </c>
      <c r="I7" s="38">
        <v>304.18</v>
      </c>
      <c r="J7" s="38">
        <f t="shared" si="0"/>
        <v>1072.9333333333334</v>
      </c>
      <c r="K7" s="38">
        <f t="shared" si="1"/>
        <v>661.46</v>
      </c>
      <c r="L7" s="42">
        <f t="shared" ca="1" si="2"/>
        <v>46323.405950462962</v>
      </c>
    </row>
    <row r="8" spans="1:12" x14ac:dyDescent="0.3">
      <c r="A8" s="37" t="s">
        <v>45</v>
      </c>
      <c r="B8" s="37" t="s">
        <v>46</v>
      </c>
      <c r="C8" s="37" t="s">
        <v>28</v>
      </c>
      <c r="D8" s="37" t="s">
        <v>38</v>
      </c>
      <c r="E8" s="38">
        <v>1317.53</v>
      </c>
      <c r="F8" s="37">
        <v>12</v>
      </c>
      <c r="G8" s="40">
        <v>0.05</v>
      </c>
      <c r="H8" s="41">
        <v>45398</v>
      </c>
      <c r="I8" s="38">
        <v>312.91000000000003</v>
      </c>
      <c r="J8" s="38">
        <f t="shared" si="0"/>
        <v>1386.8736842105263</v>
      </c>
      <c r="K8" s="38">
        <f t="shared" si="1"/>
        <v>1004.6199999999999</v>
      </c>
      <c r="L8" s="42">
        <f t="shared" ca="1" si="2"/>
        <v>46323.405950462962</v>
      </c>
    </row>
    <row r="9" spans="1:12" x14ac:dyDescent="0.3">
      <c r="A9" s="37" t="s">
        <v>47</v>
      </c>
      <c r="B9" s="37" t="s">
        <v>48</v>
      </c>
      <c r="C9" s="37" t="s">
        <v>35</v>
      </c>
      <c r="D9" s="37" t="s">
        <v>44</v>
      </c>
      <c r="E9" s="38">
        <v>1074.47</v>
      </c>
      <c r="F9" s="37">
        <v>6</v>
      </c>
      <c r="G9" s="40">
        <v>0.2</v>
      </c>
      <c r="H9" s="41">
        <v>45401</v>
      </c>
      <c r="I9" s="38">
        <v>300.85000000000002</v>
      </c>
      <c r="J9" s="38">
        <f t="shared" si="0"/>
        <v>1343.0874999999999</v>
      </c>
      <c r="K9" s="38">
        <f t="shared" si="1"/>
        <v>773.62</v>
      </c>
      <c r="L9" s="42">
        <f t="shared" ca="1" si="2"/>
        <v>46323.405950462962</v>
      </c>
    </row>
    <row r="10" spans="1:12" x14ac:dyDescent="0.3">
      <c r="A10" s="37" t="s">
        <v>49</v>
      </c>
      <c r="B10" s="37" t="s">
        <v>50</v>
      </c>
      <c r="C10" s="37" t="s">
        <v>51</v>
      </c>
      <c r="D10" s="37" t="s">
        <v>29</v>
      </c>
      <c r="E10" s="38">
        <v>501.54</v>
      </c>
      <c r="F10" s="37">
        <v>11</v>
      </c>
      <c r="G10" s="40">
        <v>0.05</v>
      </c>
      <c r="H10" s="41">
        <v>45401</v>
      </c>
      <c r="I10" s="38">
        <v>190.59</v>
      </c>
      <c r="J10" s="38">
        <f t="shared" si="0"/>
        <v>527.93684210526317</v>
      </c>
      <c r="K10" s="38">
        <f t="shared" si="1"/>
        <v>310.95000000000005</v>
      </c>
      <c r="L10" s="42">
        <f t="shared" ca="1" si="2"/>
        <v>46323.405950462962</v>
      </c>
    </row>
    <row r="11" spans="1:12" x14ac:dyDescent="0.3">
      <c r="A11" s="37" t="s">
        <v>52</v>
      </c>
      <c r="B11" s="37" t="s">
        <v>53</v>
      </c>
      <c r="C11" s="37" t="s">
        <v>51</v>
      </c>
      <c r="D11" s="37" t="s">
        <v>32</v>
      </c>
      <c r="E11" s="38">
        <v>737.31</v>
      </c>
      <c r="F11" s="37">
        <v>2</v>
      </c>
      <c r="G11" s="40">
        <v>0.05</v>
      </c>
      <c r="H11" s="41">
        <v>45401</v>
      </c>
      <c r="I11" s="38">
        <v>350.22</v>
      </c>
      <c r="J11" s="38">
        <f t="shared" si="0"/>
        <v>776.11578947368423</v>
      </c>
      <c r="K11" s="38">
        <f t="shared" si="1"/>
        <v>387.08999999999992</v>
      </c>
      <c r="L11" s="42">
        <f t="shared" ca="1" si="2"/>
        <v>46323.405950462962</v>
      </c>
    </row>
    <row r="12" spans="1:12" x14ac:dyDescent="0.3">
      <c r="A12" s="37" t="s">
        <v>54</v>
      </c>
      <c r="B12" s="37" t="s">
        <v>55</v>
      </c>
      <c r="C12" s="37" t="s">
        <v>28</v>
      </c>
      <c r="D12" s="37" t="s">
        <v>56</v>
      </c>
      <c r="E12" s="38">
        <v>1572.82</v>
      </c>
      <c r="F12" s="37">
        <v>6</v>
      </c>
      <c r="G12" s="40">
        <v>0.05</v>
      </c>
      <c r="H12" s="41">
        <v>45402</v>
      </c>
      <c r="I12" s="38">
        <v>672.38</v>
      </c>
      <c r="J12" s="38">
        <f t="shared" si="0"/>
        <v>1655.6</v>
      </c>
      <c r="K12" s="38">
        <f t="shared" si="1"/>
        <v>900.43999999999994</v>
      </c>
      <c r="L12" s="42">
        <f t="shared" ca="1" si="2"/>
        <v>46323.405950462962</v>
      </c>
    </row>
    <row r="13" spans="1:12" x14ac:dyDescent="0.3">
      <c r="A13" s="37" t="s">
        <v>54</v>
      </c>
      <c r="B13" s="37" t="s">
        <v>53</v>
      </c>
      <c r="C13" s="37" t="s">
        <v>51</v>
      </c>
      <c r="D13" s="37" t="s">
        <v>29</v>
      </c>
      <c r="E13" s="38">
        <v>1343.13</v>
      </c>
      <c r="F13" s="37">
        <v>14</v>
      </c>
      <c r="G13" s="40">
        <v>0.15</v>
      </c>
      <c r="H13" s="41">
        <v>45404</v>
      </c>
      <c r="I13" s="38">
        <v>456.66</v>
      </c>
      <c r="J13" s="38">
        <f t="shared" si="0"/>
        <v>1580.1529411764707</v>
      </c>
      <c r="K13" s="38">
        <f t="shared" si="1"/>
        <v>886.47</v>
      </c>
      <c r="L13" s="42">
        <f t="shared" ca="1" si="2"/>
        <v>46323.405950462962</v>
      </c>
    </row>
    <row r="14" spans="1:12" x14ac:dyDescent="0.3">
      <c r="A14" s="37" t="s">
        <v>42</v>
      </c>
      <c r="B14" s="37" t="s">
        <v>43</v>
      </c>
      <c r="C14" s="37" t="s">
        <v>51</v>
      </c>
      <c r="D14" s="37" t="s">
        <v>29</v>
      </c>
      <c r="E14" s="38">
        <v>1191.58</v>
      </c>
      <c r="F14" s="37">
        <v>14</v>
      </c>
      <c r="G14" s="40">
        <v>0.05</v>
      </c>
      <c r="H14" s="41">
        <v>45406</v>
      </c>
      <c r="I14" s="38">
        <v>452.8</v>
      </c>
      <c r="J14" s="38">
        <f t="shared" si="0"/>
        <v>1254.2947368421053</v>
      </c>
      <c r="K14" s="38">
        <f t="shared" si="1"/>
        <v>738.78</v>
      </c>
      <c r="L14" s="42">
        <f t="shared" ca="1" si="2"/>
        <v>46323.405950462962</v>
      </c>
    </row>
    <row r="15" spans="1:12" x14ac:dyDescent="0.3">
      <c r="A15" s="37" t="s">
        <v>57</v>
      </c>
      <c r="B15" s="37" t="s">
        <v>31</v>
      </c>
      <c r="C15" s="37" t="s">
        <v>28</v>
      </c>
      <c r="D15" s="37" t="s">
        <v>44</v>
      </c>
      <c r="E15" s="38">
        <v>822.28</v>
      </c>
      <c r="F15" s="37">
        <v>7</v>
      </c>
      <c r="G15" s="40">
        <v>0.05</v>
      </c>
      <c r="H15" s="41">
        <v>45406</v>
      </c>
      <c r="I15" s="38">
        <v>273.41000000000003</v>
      </c>
      <c r="J15" s="38">
        <f t="shared" si="0"/>
        <v>865.55789473684217</v>
      </c>
      <c r="K15" s="38">
        <f t="shared" si="1"/>
        <v>548.86999999999989</v>
      </c>
      <c r="L15" s="42">
        <f t="shared" ca="1" si="2"/>
        <v>46323.405950462962</v>
      </c>
    </row>
    <row r="16" spans="1:12" x14ac:dyDescent="0.3">
      <c r="A16" s="37" t="s">
        <v>58</v>
      </c>
      <c r="B16" s="37" t="s">
        <v>59</v>
      </c>
      <c r="C16" s="37" t="s">
        <v>41</v>
      </c>
      <c r="D16" s="37" t="s">
        <v>44</v>
      </c>
      <c r="E16" s="38">
        <v>521.66999999999996</v>
      </c>
      <c r="F16" s="37">
        <v>15</v>
      </c>
      <c r="G16" s="40">
        <v>0.15</v>
      </c>
      <c r="H16" s="41">
        <v>45409</v>
      </c>
      <c r="I16" s="38">
        <v>155.19999999999999</v>
      </c>
      <c r="J16" s="38">
        <f t="shared" si="0"/>
        <v>613.7294117647059</v>
      </c>
      <c r="K16" s="38">
        <f t="shared" si="1"/>
        <v>366.46999999999997</v>
      </c>
      <c r="L16" s="42">
        <f t="shared" ca="1" si="2"/>
        <v>46323.405950462962</v>
      </c>
    </row>
    <row r="17" spans="1:12" x14ac:dyDescent="0.3">
      <c r="A17" s="37" t="s">
        <v>36</v>
      </c>
      <c r="B17" s="37" t="s">
        <v>60</v>
      </c>
      <c r="C17" s="37" t="s">
        <v>37</v>
      </c>
      <c r="D17" s="37" t="s">
        <v>38</v>
      </c>
      <c r="E17" s="38">
        <v>1502.93</v>
      </c>
      <c r="F17" s="37">
        <v>14</v>
      </c>
      <c r="G17" s="40">
        <v>0.2</v>
      </c>
      <c r="H17" s="41">
        <v>45410</v>
      </c>
      <c r="I17" s="38">
        <v>300.58999999999997</v>
      </c>
      <c r="J17" s="38">
        <f t="shared" si="0"/>
        <v>1878.6624999999999</v>
      </c>
      <c r="K17" s="38">
        <f t="shared" si="1"/>
        <v>1202.3400000000001</v>
      </c>
      <c r="L17" s="42">
        <f t="shared" ca="1" si="2"/>
        <v>46323.405950462962</v>
      </c>
    </row>
    <row r="18" spans="1:12" x14ac:dyDescent="0.3">
      <c r="A18" s="37" t="s">
        <v>61</v>
      </c>
      <c r="B18" s="37" t="s">
        <v>31</v>
      </c>
      <c r="C18" s="37" t="s">
        <v>37</v>
      </c>
      <c r="D18" s="37" t="s">
        <v>29</v>
      </c>
      <c r="E18" s="38">
        <v>877.58</v>
      </c>
      <c r="F18" s="37">
        <v>10</v>
      </c>
      <c r="G18" s="40">
        <v>0.15</v>
      </c>
      <c r="H18" s="41">
        <v>45411</v>
      </c>
      <c r="I18" s="38">
        <v>298.38</v>
      </c>
      <c r="J18" s="38">
        <f t="shared" si="0"/>
        <v>1032.4470588235295</v>
      </c>
      <c r="K18" s="38">
        <f t="shared" si="1"/>
        <v>579.20000000000005</v>
      </c>
      <c r="L18" s="42">
        <f t="shared" ca="1" si="2"/>
        <v>46323.405950462962</v>
      </c>
    </row>
    <row r="19" spans="1:12" x14ac:dyDescent="0.3">
      <c r="A19" s="37" t="s">
        <v>45</v>
      </c>
      <c r="B19" s="37" t="s">
        <v>62</v>
      </c>
      <c r="C19" s="37" t="s">
        <v>28</v>
      </c>
      <c r="D19" s="37" t="s">
        <v>29</v>
      </c>
      <c r="E19" s="38">
        <v>636.70000000000005</v>
      </c>
      <c r="F19" s="37">
        <v>4</v>
      </c>
      <c r="G19" s="40">
        <v>0.2</v>
      </c>
      <c r="H19" s="41">
        <v>45411</v>
      </c>
      <c r="I19" s="38">
        <v>203.74</v>
      </c>
      <c r="J19" s="38">
        <f t="shared" si="0"/>
        <v>795.875</v>
      </c>
      <c r="K19" s="38">
        <f t="shared" si="1"/>
        <v>432.96000000000004</v>
      </c>
      <c r="L19" s="42">
        <f t="shared" ca="1" si="2"/>
        <v>46323.405950462962</v>
      </c>
    </row>
    <row r="20" spans="1:12" x14ac:dyDescent="0.3">
      <c r="A20" s="37" t="s">
        <v>63</v>
      </c>
      <c r="B20" s="37" t="s">
        <v>64</v>
      </c>
      <c r="C20" s="37" t="s">
        <v>28</v>
      </c>
      <c r="D20" s="37" t="s">
        <v>29</v>
      </c>
      <c r="E20" s="38">
        <v>1506.14</v>
      </c>
      <c r="F20" s="37">
        <v>13</v>
      </c>
      <c r="G20" s="40">
        <v>0.2</v>
      </c>
      <c r="H20" s="41">
        <v>45412</v>
      </c>
      <c r="I20" s="38">
        <v>481.96</v>
      </c>
      <c r="J20" s="38">
        <f t="shared" si="0"/>
        <v>1882.675</v>
      </c>
      <c r="K20" s="38">
        <f t="shared" si="1"/>
        <v>1024.18</v>
      </c>
      <c r="L20" s="42">
        <f t="shared" ca="1" si="2"/>
        <v>46323.405950462962</v>
      </c>
    </row>
    <row r="21" spans="1:12" x14ac:dyDescent="0.3">
      <c r="A21" s="37" t="s">
        <v>47</v>
      </c>
      <c r="B21" s="37" t="s">
        <v>48</v>
      </c>
      <c r="C21" s="37" t="s">
        <v>51</v>
      </c>
      <c r="D21" s="37" t="s">
        <v>38</v>
      </c>
      <c r="E21" s="38">
        <v>645.02</v>
      </c>
      <c r="F21" s="37">
        <v>4</v>
      </c>
      <c r="G21" s="40">
        <v>0</v>
      </c>
      <c r="H21" s="41">
        <v>45414</v>
      </c>
      <c r="I21" s="38">
        <v>161.26</v>
      </c>
      <c r="J21" s="38">
        <f t="shared" si="0"/>
        <v>645.02</v>
      </c>
      <c r="K21" s="38">
        <f t="shared" si="1"/>
        <v>483.76</v>
      </c>
      <c r="L21" s="42">
        <f t="shared" ca="1" si="2"/>
        <v>46323.405950462962</v>
      </c>
    </row>
    <row r="22" spans="1:12" x14ac:dyDescent="0.3">
      <c r="A22" s="37" t="s">
        <v>42</v>
      </c>
      <c r="B22" s="37" t="s">
        <v>65</v>
      </c>
      <c r="C22" s="37" t="s">
        <v>37</v>
      </c>
      <c r="D22" s="37" t="s">
        <v>32</v>
      </c>
      <c r="E22" s="38">
        <v>953.3</v>
      </c>
      <c r="F22" s="37">
        <v>11</v>
      </c>
      <c r="G22" s="40">
        <v>0</v>
      </c>
      <c r="H22" s="41">
        <v>45415</v>
      </c>
      <c r="I22" s="38">
        <v>476.65</v>
      </c>
      <c r="J22" s="38">
        <f t="shared" si="0"/>
        <v>953.3</v>
      </c>
      <c r="K22" s="38">
        <f t="shared" si="1"/>
        <v>476.65</v>
      </c>
      <c r="L22" s="42">
        <f t="shared" ca="1" si="2"/>
        <v>46323.405950462962</v>
      </c>
    </row>
    <row r="23" spans="1:12" x14ac:dyDescent="0.3">
      <c r="A23" s="37" t="s">
        <v>66</v>
      </c>
      <c r="B23" s="37" t="s">
        <v>31</v>
      </c>
      <c r="C23" s="37" t="s">
        <v>41</v>
      </c>
      <c r="D23" s="37" t="s">
        <v>38</v>
      </c>
      <c r="E23" s="38">
        <v>388.56</v>
      </c>
      <c r="F23" s="37">
        <v>14</v>
      </c>
      <c r="G23" s="40">
        <v>0.15</v>
      </c>
      <c r="H23" s="41">
        <v>45416</v>
      </c>
      <c r="I23" s="38">
        <v>82.57</v>
      </c>
      <c r="J23" s="38">
        <f t="shared" si="0"/>
        <v>457.12941176470588</v>
      </c>
      <c r="K23" s="38">
        <f t="shared" si="1"/>
        <v>305.99</v>
      </c>
      <c r="L23" s="42">
        <f t="shared" ca="1" si="2"/>
        <v>46323.405950462962</v>
      </c>
    </row>
    <row r="24" spans="1:12" x14ac:dyDescent="0.3">
      <c r="A24" s="37" t="s">
        <v>26</v>
      </c>
      <c r="B24" s="37" t="s">
        <v>48</v>
      </c>
      <c r="C24" s="37" t="s">
        <v>28</v>
      </c>
      <c r="D24" s="37" t="s">
        <v>29</v>
      </c>
      <c r="E24" s="38">
        <v>743.17</v>
      </c>
      <c r="F24" s="37">
        <v>9</v>
      </c>
      <c r="G24" s="40">
        <v>0</v>
      </c>
      <c r="H24" s="41">
        <v>45416</v>
      </c>
      <c r="I24" s="38">
        <v>297.27</v>
      </c>
      <c r="J24" s="38">
        <f t="shared" si="0"/>
        <v>743.17</v>
      </c>
      <c r="K24" s="38">
        <f t="shared" si="1"/>
        <v>445.9</v>
      </c>
      <c r="L24" s="42">
        <f t="shared" ca="1" si="2"/>
        <v>46323.405950462962</v>
      </c>
    </row>
    <row r="25" spans="1:12" x14ac:dyDescent="0.3">
      <c r="A25" s="37" t="s">
        <v>57</v>
      </c>
      <c r="B25" s="37" t="s">
        <v>48</v>
      </c>
      <c r="C25" s="37" t="s">
        <v>51</v>
      </c>
      <c r="D25" s="37" t="s">
        <v>38</v>
      </c>
      <c r="E25" s="38">
        <v>706.37</v>
      </c>
      <c r="F25" s="37">
        <v>6</v>
      </c>
      <c r="G25" s="40">
        <v>0</v>
      </c>
      <c r="H25" s="41">
        <v>45416</v>
      </c>
      <c r="I25" s="38">
        <v>176.59</v>
      </c>
      <c r="J25" s="38">
        <f t="shared" si="0"/>
        <v>706.37</v>
      </c>
      <c r="K25" s="38">
        <f t="shared" si="1"/>
        <v>529.78</v>
      </c>
      <c r="L25" s="42">
        <f t="shared" ca="1" si="2"/>
        <v>46323.405950462962</v>
      </c>
    </row>
    <row r="26" spans="1:12" x14ac:dyDescent="0.3">
      <c r="A26" s="37" t="s">
        <v>30</v>
      </c>
      <c r="B26" s="37" t="s">
        <v>48</v>
      </c>
      <c r="C26" s="37" t="s">
        <v>51</v>
      </c>
      <c r="D26" s="37" t="s">
        <v>56</v>
      </c>
      <c r="E26" s="38">
        <v>925.31</v>
      </c>
      <c r="F26" s="37">
        <v>8</v>
      </c>
      <c r="G26" s="40">
        <v>0.1</v>
      </c>
      <c r="H26" s="41">
        <v>45418</v>
      </c>
      <c r="I26" s="38">
        <v>374.75</v>
      </c>
      <c r="J26" s="38">
        <f t="shared" si="0"/>
        <v>1028.122222222222</v>
      </c>
      <c r="K26" s="38">
        <f t="shared" si="1"/>
        <v>550.55999999999995</v>
      </c>
      <c r="L26" s="42">
        <f t="shared" ca="1" si="2"/>
        <v>46323.405950462962</v>
      </c>
    </row>
    <row r="27" spans="1:12" x14ac:dyDescent="0.3">
      <c r="A27" s="37" t="s">
        <v>52</v>
      </c>
      <c r="B27" s="37" t="s">
        <v>67</v>
      </c>
      <c r="C27" s="37" t="s">
        <v>37</v>
      </c>
      <c r="D27" s="37" t="s">
        <v>38</v>
      </c>
      <c r="E27" s="38">
        <v>1173.1199999999999</v>
      </c>
      <c r="F27" s="37">
        <v>18</v>
      </c>
      <c r="G27" s="40">
        <v>0</v>
      </c>
      <c r="H27" s="41">
        <v>45418</v>
      </c>
      <c r="I27" s="38">
        <v>293.27999999999997</v>
      </c>
      <c r="J27" s="38">
        <f t="shared" si="0"/>
        <v>1173.1199999999999</v>
      </c>
      <c r="K27" s="38">
        <f t="shared" si="1"/>
        <v>879.83999999999992</v>
      </c>
      <c r="L27" s="42">
        <f t="shared" ca="1" si="2"/>
        <v>46323.405950462962</v>
      </c>
    </row>
    <row r="28" spans="1:12" x14ac:dyDescent="0.3">
      <c r="A28" s="37" t="s">
        <v>39</v>
      </c>
      <c r="B28" s="37" t="s">
        <v>68</v>
      </c>
      <c r="C28" s="37" t="s">
        <v>41</v>
      </c>
      <c r="D28" s="37" t="s">
        <v>44</v>
      </c>
      <c r="E28" s="38">
        <v>675.54</v>
      </c>
      <c r="F28" s="37">
        <v>17</v>
      </c>
      <c r="G28" s="40">
        <v>0</v>
      </c>
      <c r="H28" s="41">
        <v>45420</v>
      </c>
      <c r="I28" s="38">
        <v>236.44</v>
      </c>
      <c r="J28" s="38">
        <f t="shared" si="0"/>
        <v>675.54</v>
      </c>
      <c r="K28" s="38">
        <f t="shared" si="1"/>
        <v>439.09999999999997</v>
      </c>
      <c r="L28" s="42">
        <f t="shared" ca="1" si="2"/>
        <v>46323.405950462962</v>
      </c>
    </row>
    <row r="29" spans="1:12" x14ac:dyDescent="0.3">
      <c r="A29" s="37" t="s">
        <v>42</v>
      </c>
      <c r="B29" s="37" t="s">
        <v>31</v>
      </c>
      <c r="C29" s="37" t="s">
        <v>51</v>
      </c>
      <c r="D29" s="37" t="s">
        <v>29</v>
      </c>
      <c r="E29" s="38">
        <v>939.09</v>
      </c>
      <c r="F29" s="37">
        <v>2</v>
      </c>
      <c r="G29" s="40">
        <v>0.05</v>
      </c>
      <c r="H29" s="41">
        <v>45422</v>
      </c>
      <c r="I29" s="38">
        <v>356.85</v>
      </c>
      <c r="J29" s="38">
        <f t="shared" si="0"/>
        <v>988.51578947368432</v>
      </c>
      <c r="K29" s="38">
        <f t="shared" si="1"/>
        <v>582.24</v>
      </c>
      <c r="L29" s="42">
        <f t="shared" ca="1" si="2"/>
        <v>46323.405950462962</v>
      </c>
    </row>
    <row r="30" spans="1:12" x14ac:dyDescent="0.3">
      <c r="A30" s="37" t="s">
        <v>69</v>
      </c>
      <c r="B30" s="37" t="s">
        <v>70</v>
      </c>
      <c r="C30" s="37" t="s">
        <v>35</v>
      </c>
      <c r="D30" s="37" t="s">
        <v>56</v>
      </c>
      <c r="E30" s="38">
        <v>983.34</v>
      </c>
      <c r="F30" s="37">
        <v>19</v>
      </c>
      <c r="G30" s="40">
        <v>0.1</v>
      </c>
      <c r="H30" s="41">
        <v>45426</v>
      </c>
      <c r="I30" s="38">
        <v>398.25</v>
      </c>
      <c r="J30" s="38">
        <f t="shared" si="0"/>
        <v>1092.5999999999999</v>
      </c>
      <c r="K30" s="38">
        <f t="shared" si="1"/>
        <v>585.09</v>
      </c>
      <c r="L30" s="42">
        <f t="shared" ca="1" si="2"/>
        <v>46323.405950462962</v>
      </c>
    </row>
    <row r="31" spans="1:12" x14ac:dyDescent="0.3">
      <c r="A31" s="37" t="s">
        <v>69</v>
      </c>
      <c r="B31" s="37" t="s">
        <v>40</v>
      </c>
      <c r="C31" s="37" t="s">
        <v>37</v>
      </c>
      <c r="D31" s="37" t="s">
        <v>38</v>
      </c>
      <c r="E31" s="38">
        <v>801.21</v>
      </c>
      <c r="F31" s="37">
        <v>3</v>
      </c>
      <c r="G31" s="40">
        <v>0.2</v>
      </c>
      <c r="H31" s="41">
        <v>45426</v>
      </c>
      <c r="I31" s="38">
        <v>160.24</v>
      </c>
      <c r="J31" s="38">
        <f t="shared" si="0"/>
        <v>1001.5125</v>
      </c>
      <c r="K31" s="38">
        <f t="shared" si="1"/>
        <v>640.97</v>
      </c>
      <c r="L31" s="42">
        <f t="shared" ca="1" si="2"/>
        <v>46323.405950462962</v>
      </c>
    </row>
    <row r="32" spans="1:12" x14ac:dyDescent="0.3">
      <c r="A32" s="37" t="s">
        <v>71</v>
      </c>
      <c r="B32" s="37" t="s">
        <v>72</v>
      </c>
      <c r="C32" s="37" t="s">
        <v>41</v>
      </c>
      <c r="D32" s="37" t="s">
        <v>38</v>
      </c>
      <c r="E32" s="38">
        <v>1450.71</v>
      </c>
      <c r="F32" s="37">
        <v>5</v>
      </c>
      <c r="G32" s="40">
        <v>0.1</v>
      </c>
      <c r="H32" s="41">
        <v>45427</v>
      </c>
      <c r="I32" s="38">
        <v>326.41000000000003</v>
      </c>
      <c r="J32" s="38">
        <f t="shared" si="0"/>
        <v>1611.9</v>
      </c>
      <c r="K32" s="38">
        <f t="shared" si="1"/>
        <v>1124.3</v>
      </c>
      <c r="L32" s="42">
        <f t="shared" ca="1" si="2"/>
        <v>46323.405950462962</v>
      </c>
    </row>
    <row r="33" spans="1:12" x14ac:dyDescent="0.3">
      <c r="A33" s="37" t="s">
        <v>66</v>
      </c>
      <c r="B33" s="37" t="s">
        <v>73</v>
      </c>
      <c r="C33" s="37" t="s">
        <v>51</v>
      </c>
      <c r="D33" s="37" t="s">
        <v>29</v>
      </c>
      <c r="E33" s="38">
        <v>1023.21</v>
      </c>
      <c r="F33" s="37">
        <v>18</v>
      </c>
      <c r="G33" s="40">
        <v>0.05</v>
      </c>
      <c r="H33" s="41">
        <v>45428</v>
      </c>
      <c r="I33" s="38">
        <v>388.82</v>
      </c>
      <c r="J33" s="38">
        <f t="shared" si="0"/>
        <v>1077.0631578947368</v>
      </c>
      <c r="K33" s="38">
        <f t="shared" si="1"/>
        <v>634.3900000000001</v>
      </c>
      <c r="L33" s="42">
        <f t="shared" ca="1" si="2"/>
        <v>46323.405950462962</v>
      </c>
    </row>
    <row r="34" spans="1:12" x14ac:dyDescent="0.3">
      <c r="A34" s="37" t="s">
        <v>45</v>
      </c>
      <c r="B34" s="37" t="s">
        <v>64</v>
      </c>
      <c r="C34" s="37" t="s">
        <v>28</v>
      </c>
      <c r="D34" s="37" t="s">
        <v>44</v>
      </c>
      <c r="E34" s="38">
        <v>853.72</v>
      </c>
      <c r="F34" s="37">
        <v>5</v>
      </c>
      <c r="G34" s="40">
        <v>0.15</v>
      </c>
      <c r="H34" s="41">
        <v>45428</v>
      </c>
      <c r="I34" s="38">
        <v>253.98</v>
      </c>
      <c r="J34" s="38">
        <f t="shared" ref="J34:J65" si="3">E34/(1-G34)</f>
        <v>1004.3764705882354</v>
      </c>
      <c r="K34" s="38">
        <f t="shared" ref="K34:K65" si="4">E34-I34</f>
        <v>599.74</v>
      </c>
      <c r="L34" s="42">
        <f t="shared" ref="L34:L65" ca="1" si="5">NOW()</f>
        <v>46323.405950462962</v>
      </c>
    </row>
    <row r="35" spans="1:12" x14ac:dyDescent="0.3">
      <c r="A35" s="37" t="s">
        <v>74</v>
      </c>
      <c r="B35" s="37" t="s">
        <v>60</v>
      </c>
      <c r="C35" s="37" t="s">
        <v>37</v>
      </c>
      <c r="D35" s="37" t="s">
        <v>38</v>
      </c>
      <c r="E35" s="38">
        <v>967.89</v>
      </c>
      <c r="F35" s="37">
        <v>10</v>
      </c>
      <c r="G35" s="40">
        <v>0.1</v>
      </c>
      <c r="H35" s="41">
        <v>45429</v>
      </c>
      <c r="I35" s="38">
        <v>217.78</v>
      </c>
      <c r="J35" s="38">
        <f t="shared" si="3"/>
        <v>1075.4333333333334</v>
      </c>
      <c r="K35" s="38">
        <f t="shared" si="4"/>
        <v>750.11</v>
      </c>
      <c r="L35" s="42">
        <f t="shared" ca="1" si="5"/>
        <v>46323.405950462962</v>
      </c>
    </row>
    <row r="36" spans="1:12" x14ac:dyDescent="0.3">
      <c r="A36" s="37" t="s">
        <v>75</v>
      </c>
      <c r="B36" s="37" t="s">
        <v>70</v>
      </c>
      <c r="C36" s="37" t="s">
        <v>41</v>
      </c>
      <c r="D36" s="37" t="s">
        <v>56</v>
      </c>
      <c r="E36" s="38">
        <v>1200.9000000000001</v>
      </c>
      <c r="F36" s="37">
        <v>14</v>
      </c>
      <c r="G36" s="40">
        <v>0.05</v>
      </c>
      <c r="H36" s="41">
        <v>45429</v>
      </c>
      <c r="I36" s="38">
        <v>513.38</v>
      </c>
      <c r="J36" s="38">
        <f t="shared" si="3"/>
        <v>1264.1052631578948</v>
      </c>
      <c r="K36" s="38">
        <f t="shared" si="4"/>
        <v>687.5200000000001</v>
      </c>
      <c r="L36" s="42">
        <f t="shared" ca="1" si="5"/>
        <v>46323.405950462962</v>
      </c>
    </row>
    <row r="37" spans="1:12" x14ac:dyDescent="0.3">
      <c r="A37" s="37" t="s">
        <v>30</v>
      </c>
      <c r="B37" s="37" t="s">
        <v>43</v>
      </c>
      <c r="C37" s="37" t="s">
        <v>28</v>
      </c>
      <c r="D37" s="37" t="s">
        <v>29</v>
      </c>
      <c r="E37" s="38">
        <v>472.38</v>
      </c>
      <c r="F37" s="37">
        <v>12</v>
      </c>
      <c r="G37" s="40">
        <v>0.2</v>
      </c>
      <c r="H37" s="41">
        <v>45429</v>
      </c>
      <c r="I37" s="38">
        <v>151.16</v>
      </c>
      <c r="J37" s="38">
        <f t="shared" si="3"/>
        <v>590.47499999999991</v>
      </c>
      <c r="K37" s="38">
        <f t="shared" si="4"/>
        <v>321.22000000000003</v>
      </c>
      <c r="L37" s="42">
        <f t="shared" ca="1" si="5"/>
        <v>46323.405950462962</v>
      </c>
    </row>
    <row r="38" spans="1:12" x14ac:dyDescent="0.3">
      <c r="A38" s="37" t="s">
        <v>26</v>
      </c>
      <c r="B38" s="37" t="s">
        <v>72</v>
      </c>
      <c r="C38" s="37" t="s">
        <v>35</v>
      </c>
      <c r="D38" s="37" t="s">
        <v>56</v>
      </c>
      <c r="E38" s="38">
        <v>840.92</v>
      </c>
      <c r="F38" s="37">
        <v>9</v>
      </c>
      <c r="G38" s="40">
        <v>0.05</v>
      </c>
      <c r="H38" s="41">
        <v>45429</v>
      </c>
      <c r="I38" s="38">
        <v>359.49</v>
      </c>
      <c r="J38" s="38">
        <f t="shared" si="3"/>
        <v>885.17894736842106</v>
      </c>
      <c r="K38" s="38">
        <f t="shared" si="4"/>
        <v>481.42999999999995</v>
      </c>
      <c r="L38" s="42">
        <f t="shared" ca="1" si="5"/>
        <v>46323.405950462962</v>
      </c>
    </row>
    <row r="39" spans="1:12" x14ac:dyDescent="0.3">
      <c r="A39" s="37" t="s">
        <v>69</v>
      </c>
      <c r="B39" s="37" t="s">
        <v>65</v>
      </c>
      <c r="C39" s="37" t="s">
        <v>51</v>
      </c>
      <c r="D39" s="37" t="s">
        <v>44</v>
      </c>
      <c r="E39" s="38">
        <v>1410.06</v>
      </c>
      <c r="F39" s="37">
        <v>11</v>
      </c>
      <c r="G39" s="40">
        <v>0.05</v>
      </c>
      <c r="H39" s="41">
        <v>45434</v>
      </c>
      <c r="I39" s="38">
        <v>468.84</v>
      </c>
      <c r="J39" s="38">
        <f t="shared" si="3"/>
        <v>1484.2736842105264</v>
      </c>
      <c r="K39" s="38">
        <f t="shared" si="4"/>
        <v>941.22</v>
      </c>
      <c r="L39" s="42">
        <f t="shared" ca="1" si="5"/>
        <v>46323.405950462962</v>
      </c>
    </row>
    <row r="40" spans="1:12" x14ac:dyDescent="0.3">
      <c r="A40" s="37" t="s">
        <v>61</v>
      </c>
      <c r="B40" s="37" t="s">
        <v>76</v>
      </c>
      <c r="C40" s="37" t="s">
        <v>51</v>
      </c>
      <c r="D40" s="37" t="s">
        <v>44</v>
      </c>
      <c r="E40" s="38">
        <v>773.09</v>
      </c>
      <c r="F40" s="37">
        <v>13</v>
      </c>
      <c r="G40" s="40">
        <v>0.15</v>
      </c>
      <c r="H40" s="41">
        <v>45434</v>
      </c>
      <c r="I40" s="38">
        <v>229.99</v>
      </c>
      <c r="J40" s="38">
        <f t="shared" si="3"/>
        <v>909.51764705882363</v>
      </c>
      <c r="K40" s="38">
        <f t="shared" si="4"/>
        <v>543.1</v>
      </c>
      <c r="L40" s="42">
        <f t="shared" ca="1" si="5"/>
        <v>46323.405950462962</v>
      </c>
    </row>
    <row r="41" spans="1:12" x14ac:dyDescent="0.3">
      <c r="A41" s="37" t="s">
        <v>77</v>
      </c>
      <c r="B41" s="37" t="s">
        <v>78</v>
      </c>
      <c r="C41" s="37" t="s">
        <v>35</v>
      </c>
      <c r="D41" s="37" t="s">
        <v>29</v>
      </c>
      <c r="E41" s="38">
        <v>580.42999999999995</v>
      </c>
      <c r="F41" s="37">
        <v>19</v>
      </c>
      <c r="G41" s="40">
        <v>0.15</v>
      </c>
      <c r="H41" s="41">
        <v>45435</v>
      </c>
      <c r="I41" s="38">
        <v>197.35</v>
      </c>
      <c r="J41" s="38">
        <f t="shared" si="3"/>
        <v>682.85882352941178</v>
      </c>
      <c r="K41" s="38">
        <f t="shared" si="4"/>
        <v>383.07999999999993</v>
      </c>
      <c r="L41" s="42">
        <f t="shared" ca="1" si="5"/>
        <v>46323.405950462962</v>
      </c>
    </row>
    <row r="42" spans="1:12" x14ac:dyDescent="0.3">
      <c r="A42" s="37" t="s">
        <v>36</v>
      </c>
      <c r="B42" s="37" t="s">
        <v>59</v>
      </c>
      <c r="C42" s="37" t="s">
        <v>37</v>
      </c>
      <c r="D42" s="37" t="s">
        <v>29</v>
      </c>
      <c r="E42" s="38">
        <v>1151.21</v>
      </c>
      <c r="F42" s="37">
        <v>15</v>
      </c>
      <c r="G42" s="40">
        <v>0.1</v>
      </c>
      <c r="H42" s="41">
        <v>45445</v>
      </c>
      <c r="I42" s="38">
        <v>414.44</v>
      </c>
      <c r="J42" s="38">
        <f t="shared" si="3"/>
        <v>1279.1222222222223</v>
      </c>
      <c r="K42" s="38">
        <f t="shared" si="4"/>
        <v>736.77</v>
      </c>
      <c r="L42" s="42">
        <f t="shared" ca="1" si="5"/>
        <v>46323.405950462962</v>
      </c>
    </row>
    <row r="43" spans="1:12" x14ac:dyDescent="0.3">
      <c r="A43" s="37" t="s">
        <v>69</v>
      </c>
      <c r="B43" s="37" t="s">
        <v>40</v>
      </c>
      <c r="C43" s="37" t="s">
        <v>51</v>
      </c>
      <c r="D43" s="37" t="s">
        <v>56</v>
      </c>
      <c r="E43" s="38">
        <v>1025.98</v>
      </c>
      <c r="F43" s="37">
        <v>5</v>
      </c>
      <c r="G43" s="40">
        <v>0.2</v>
      </c>
      <c r="H43" s="41">
        <v>45447</v>
      </c>
      <c r="I43" s="38">
        <v>369.35</v>
      </c>
      <c r="J43" s="38">
        <f t="shared" si="3"/>
        <v>1282.4749999999999</v>
      </c>
      <c r="K43" s="38">
        <f t="shared" si="4"/>
        <v>656.63</v>
      </c>
      <c r="L43" s="42">
        <f t="shared" ca="1" si="5"/>
        <v>46323.405950462962</v>
      </c>
    </row>
    <row r="44" spans="1:12" x14ac:dyDescent="0.3">
      <c r="A44" s="37" t="s">
        <v>57</v>
      </c>
      <c r="B44" s="37" t="s">
        <v>73</v>
      </c>
      <c r="C44" s="37" t="s">
        <v>35</v>
      </c>
      <c r="D44" s="37" t="s">
        <v>56</v>
      </c>
      <c r="E44" s="38">
        <v>556.41999999999996</v>
      </c>
      <c r="F44" s="37">
        <v>11</v>
      </c>
      <c r="G44" s="40">
        <v>0.15</v>
      </c>
      <c r="H44" s="41">
        <v>45447</v>
      </c>
      <c r="I44" s="38">
        <v>212.83</v>
      </c>
      <c r="J44" s="38">
        <f t="shared" si="3"/>
        <v>654.61176470588236</v>
      </c>
      <c r="K44" s="38">
        <f t="shared" si="4"/>
        <v>343.58999999999992</v>
      </c>
      <c r="L44" s="42">
        <f t="shared" ca="1" si="5"/>
        <v>46323.405950462962</v>
      </c>
    </row>
    <row r="45" spans="1:12" x14ac:dyDescent="0.3">
      <c r="A45" s="37" t="s">
        <v>74</v>
      </c>
      <c r="B45" s="37" t="s">
        <v>40</v>
      </c>
      <c r="C45" s="37" t="s">
        <v>51</v>
      </c>
      <c r="D45" s="37" t="s">
        <v>29</v>
      </c>
      <c r="E45" s="38">
        <v>840.85</v>
      </c>
      <c r="F45" s="37">
        <v>19</v>
      </c>
      <c r="G45" s="40">
        <v>0.1</v>
      </c>
      <c r="H45" s="41">
        <v>45448</v>
      </c>
      <c r="I45" s="38">
        <v>302.70999999999998</v>
      </c>
      <c r="J45" s="38">
        <f t="shared" si="3"/>
        <v>934.27777777777783</v>
      </c>
      <c r="K45" s="38">
        <f t="shared" si="4"/>
        <v>538.1400000000001</v>
      </c>
      <c r="L45" s="42">
        <f t="shared" ca="1" si="5"/>
        <v>46323.405950462962</v>
      </c>
    </row>
    <row r="46" spans="1:12" x14ac:dyDescent="0.3">
      <c r="A46" s="37" t="s">
        <v>47</v>
      </c>
      <c r="B46" s="37" t="s">
        <v>78</v>
      </c>
      <c r="C46" s="37" t="s">
        <v>41</v>
      </c>
      <c r="D46" s="37" t="s">
        <v>44</v>
      </c>
      <c r="E46" s="38">
        <v>1227.25</v>
      </c>
      <c r="F46" s="37">
        <v>12</v>
      </c>
      <c r="G46" s="40">
        <v>0.15</v>
      </c>
      <c r="H46" s="41">
        <v>45448</v>
      </c>
      <c r="I46" s="38">
        <v>365.11</v>
      </c>
      <c r="J46" s="38">
        <f t="shared" si="3"/>
        <v>1443.8235294117646</v>
      </c>
      <c r="K46" s="38">
        <f t="shared" si="4"/>
        <v>862.14</v>
      </c>
      <c r="L46" s="42">
        <f t="shared" ca="1" si="5"/>
        <v>46323.405950462962</v>
      </c>
    </row>
    <row r="47" spans="1:12" x14ac:dyDescent="0.3">
      <c r="A47" s="37" t="s">
        <v>33</v>
      </c>
      <c r="B47" s="37" t="s">
        <v>79</v>
      </c>
      <c r="C47" s="37" t="s">
        <v>51</v>
      </c>
      <c r="D47" s="37" t="s">
        <v>38</v>
      </c>
      <c r="E47" s="38">
        <v>856.7</v>
      </c>
      <c r="F47" s="37">
        <v>2</v>
      </c>
      <c r="G47" s="40">
        <v>0</v>
      </c>
      <c r="H47" s="41">
        <v>45449</v>
      </c>
      <c r="I47" s="38">
        <v>214.18</v>
      </c>
      <c r="J47" s="38">
        <f t="shared" si="3"/>
        <v>856.7</v>
      </c>
      <c r="K47" s="38">
        <f t="shared" si="4"/>
        <v>642.52</v>
      </c>
      <c r="L47" s="42">
        <f t="shared" ca="1" si="5"/>
        <v>46323.405950462962</v>
      </c>
    </row>
    <row r="48" spans="1:12" x14ac:dyDescent="0.3">
      <c r="A48" s="37" t="s">
        <v>71</v>
      </c>
      <c r="B48" s="37" t="s">
        <v>73</v>
      </c>
      <c r="C48" s="37" t="s">
        <v>51</v>
      </c>
      <c r="D48" s="37" t="s">
        <v>56</v>
      </c>
      <c r="E48" s="38">
        <v>1225.42</v>
      </c>
      <c r="F48" s="37">
        <v>8</v>
      </c>
      <c r="G48" s="40">
        <v>0.15</v>
      </c>
      <c r="H48" s="41">
        <v>45449</v>
      </c>
      <c r="I48" s="38">
        <v>468.72</v>
      </c>
      <c r="J48" s="38">
        <f t="shared" si="3"/>
        <v>1441.6705882352942</v>
      </c>
      <c r="K48" s="38">
        <f t="shared" si="4"/>
        <v>756.7</v>
      </c>
      <c r="L48" s="42">
        <f t="shared" ca="1" si="5"/>
        <v>46323.405950462962</v>
      </c>
    </row>
    <row r="49" spans="1:12" x14ac:dyDescent="0.3">
      <c r="A49" s="37" t="s">
        <v>80</v>
      </c>
      <c r="B49" s="37" t="s">
        <v>48</v>
      </c>
      <c r="C49" s="37" t="s">
        <v>41</v>
      </c>
      <c r="D49" s="37" t="s">
        <v>56</v>
      </c>
      <c r="E49" s="38">
        <v>1001.57</v>
      </c>
      <c r="F49" s="37">
        <v>12</v>
      </c>
      <c r="G49" s="40">
        <v>0</v>
      </c>
      <c r="H49" s="41">
        <v>45450</v>
      </c>
      <c r="I49" s="38">
        <v>450.71</v>
      </c>
      <c r="J49" s="38">
        <f t="shared" si="3"/>
        <v>1001.57</v>
      </c>
      <c r="K49" s="38">
        <f t="shared" si="4"/>
        <v>550.86000000000013</v>
      </c>
      <c r="L49" s="42">
        <f t="shared" ca="1" si="5"/>
        <v>46323.405950462962</v>
      </c>
    </row>
    <row r="50" spans="1:12" x14ac:dyDescent="0.3">
      <c r="A50" s="37" t="s">
        <v>74</v>
      </c>
      <c r="B50" s="37" t="s">
        <v>43</v>
      </c>
      <c r="C50" s="37" t="s">
        <v>35</v>
      </c>
      <c r="D50" s="37" t="s">
        <v>44</v>
      </c>
      <c r="E50" s="38">
        <v>1186.8499999999999</v>
      </c>
      <c r="F50" s="37">
        <v>19</v>
      </c>
      <c r="G50" s="40">
        <v>0.2</v>
      </c>
      <c r="H50" s="41">
        <v>45451</v>
      </c>
      <c r="I50" s="38">
        <v>332.32</v>
      </c>
      <c r="J50" s="38">
        <f t="shared" si="3"/>
        <v>1483.5624999999998</v>
      </c>
      <c r="K50" s="38">
        <f t="shared" si="4"/>
        <v>854.53</v>
      </c>
      <c r="L50" s="42">
        <f t="shared" ca="1" si="5"/>
        <v>46323.405950462962</v>
      </c>
    </row>
    <row r="51" spans="1:12" x14ac:dyDescent="0.3">
      <c r="A51" s="37" t="s">
        <v>61</v>
      </c>
      <c r="B51" s="37" t="s">
        <v>68</v>
      </c>
      <c r="C51" s="37" t="s">
        <v>37</v>
      </c>
      <c r="D51" s="37" t="s">
        <v>38</v>
      </c>
      <c r="E51" s="38">
        <v>775.45</v>
      </c>
      <c r="F51" s="37">
        <v>6</v>
      </c>
      <c r="G51" s="40">
        <v>0.1</v>
      </c>
      <c r="H51" s="41">
        <v>45457</v>
      </c>
      <c r="I51" s="38">
        <v>174.48</v>
      </c>
      <c r="J51" s="38">
        <f t="shared" si="3"/>
        <v>861.61111111111109</v>
      </c>
      <c r="K51" s="38">
        <f t="shared" si="4"/>
        <v>600.97</v>
      </c>
      <c r="L51" s="42">
        <f t="shared" ca="1" si="5"/>
        <v>46323.405950462962</v>
      </c>
    </row>
    <row r="52" spans="1:12" x14ac:dyDescent="0.3">
      <c r="A52" s="37" t="s">
        <v>42</v>
      </c>
      <c r="B52" s="37" t="s">
        <v>50</v>
      </c>
      <c r="C52" s="37" t="s">
        <v>37</v>
      </c>
      <c r="D52" s="37" t="s">
        <v>38</v>
      </c>
      <c r="E52" s="38">
        <v>1021.47</v>
      </c>
      <c r="F52" s="37">
        <v>6</v>
      </c>
      <c r="G52" s="40">
        <v>0.05</v>
      </c>
      <c r="H52" s="41">
        <v>45461</v>
      </c>
      <c r="I52" s="38">
        <v>242.6</v>
      </c>
      <c r="J52" s="38">
        <f t="shared" si="3"/>
        <v>1075.2315789473685</v>
      </c>
      <c r="K52" s="38">
        <f t="shared" si="4"/>
        <v>778.87</v>
      </c>
      <c r="L52" s="42">
        <f t="shared" ca="1" si="5"/>
        <v>46323.405950462962</v>
      </c>
    </row>
    <row r="53" spans="1:12" x14ac:dyDescent="0.3">
      <c r="A53" s="37" t="s">
        <v>75</v>
      </c>
      <c r="B53" s="37" t="s">
        <v>40</v>
      </c>
      <c r="C53" s="37" t="s">
        <v>37</v>
      </c>
      <c r="D53" s="37" t="s">
        <v>32</v>
      </c>
      <c r="E53" s="38">
        <v>1226.6199999999999</v>
      </c>
      <c r="F53" s="37">
        <v>7</v>
      </c>
      <c r="G53" s="40">
        <v>0.1</v>
      </c>
      <c r="H53" s="41">
        <v>45463</v>
      </c>
      <c r="I53" s="38">
        <v>551.98</v>
      </c>
      <c r="J53" s="38">
        <f t="shared" si="3"/>
        <v>1362.911111111111</v>
      </c>
      <c r="K53" s="38">
        <f t="shared" si="4"/>
        <v>674.63999999999987</v>
      </c>
      <c r="L53" s="42">
        <f t="shared" ca="1" si="5"/>
        <v>46323.405950462962</v>
      </c>
    </row>
    <row r="54" spans="1:12" x14ac:dyDescent="0.3">
      <c r="A54" s="37" t="s">
        <v>39</v>
      </c>
      <c r="B54" s="37" t="s">
        <v>81</v>
      </c>
      <c r="C54" s="37" t="s">
        <v>37</v>
      </c>
      <c r="D54" s="37" t="s">
        <v>44</v>
      </c>
      <c r="E54" s="38">
        <v>1086.93</v>
      </c>
      <c r="F54" s="37">
        <v>2</v>
      </c>
      <c r="G54" s="40">
        <v>0</v>
      </c>
      <c r="H54" s="41">
        <v>45464</v>
      </c>
      <c r="I54" s="38">
        <v>380.43</v>
      </c>
      <c r="J54" s="38">
        <f t="shared" si="3"/>
        <v>1086.93</v>
      </c>
      <c r="K54" s="38">
        <f t="shared" si="4"/>
        <v>706.5</v>
      </c>
      <c r="L54" s="42">
        <f t="shared" ca="1" si="5"/>
        <v>46323.405950462962</v>
      </c>
    </row>
    <row r="55" spans="1:12" x14ac:dyDescent="0.3">
      <c r="A55" s="37" t="s">
        <v>82</v>
      </c>
      <c r="B55" s="37" t="s">
        <v>65</v>
      </c>
      <c r="C55" s="37" t="s">
        <v>28</v>
      </c>
      <c r="D55" s="37" t="s">
        <v>29</v>
      </c>
      <c r="E55" s="38">
        <v>942.9</v>
      </c>
      <c r="F55" s="37">
        <v>18</v>
      </c>
      <c r="G55" s="40">
        <v>0.1</v>
      </c>
      <c r="H55" s="41">
        <v>45466</v>
      </c>
      <c r="I55" s="38">
        <v>339.44</v>
      </c>
      <c r="J55" s="38">
        <f t="shared" si="3"/>
        <v>1047.6666666666665</v>
      </c>
      <c r="K55" s="38">
        <f t="shared" si="4"/>
        <v>603.46</v>
      </c>
      <c r="L55" s="42">
        <f t="shared" ca="1" si="5"/>
        <v>46323.405950462962</v>
      </c>
    </row>
    <row r="56" spans="1:12" x14ac:dyDescent="0.3">
      <c r="A56" s="37" t="s">
        <v>49</v>
      </c>
      <c r="B56" s="37" t="s">
        <v>55</v>
      </c>
      <c r="C56" s="37" t="s">
        <v>41</v>
      </c>
      <c r="D56" s="37" t="s">
        <v>38</v>
      </c>
      <c r="E56" s="38">
        <v>818.8</v>
      </c>
      <c r="F56" s="37">
        <v>15</v>
      </c>
      <c r="G56" s="40">
        <v>0.15</v>
      </c>
      <c r="H56" s="41">
        <v>45468</v>
      </c>
      <c r="I56" s="38">
        <v>173.99</v>
      </c>
      <c r="J56" s="38">
        <f t="shared" si="3"/>
        <v>963.29411764705878</v>
      </c>
      <c r="K56" s="38">
        <f t="shared" si="4"/>
        <v>644.80999999999995</v>
      </c>
      <c r="L56" s="42">
        <f t="shared" ca="1" si="5"/>
        <v>46323.405950462962</v>
      </c>
    </row>
    <row r="57" spans="1:12" x14ac:dyDescent="0.3">
      <c r="A57" s="37" t="s">
        <v>36</v>
      </c>
      <c r="B57" s="37" t="s">
        <v>31</v>
      </c>
      <c r="C57" s="37" t="s">
        <v>37</v>
      </c>
      <c r="D57" s="37" t="s">
        <v>44</v>
      </c>
      <c r="E57" s="38">
        <v>919.04</v>
      </c>
      <c r="F57" s="37">
        <v>10</v>
      </c>
      <c r="G57" s="40">
        <v>0.2</v>
      </c>
      <c r="H57" s="41">
        <v>45468</v>
      </c>
      <c r="I57" s="38">
        <v>257.33</v>
      </c>
      <c r="J57" s="38">
        <f t="shared" si="3"/>
        <v>1148.8</v>
      </c>
      <c r="K57" s="38">
        <f t="shared" si="4"/>
        <v>661.71</v>
      </c>
      <c r="L57" s="42">
        <f t="shared" ca="1" si="5"/>
        <v>46323.405950462962</v>
      </c>
    </row>
    <row r="58" spans="1:12" x14ac:dyDescent="0.3">
      <c r="A58" s="37" t="s">
        <v>39</v>
      </c>
      <c r="B58" s="37" t="s">
        <v>83</v>
      </c>
      <c r="C58" s="37" t="s">
        <v>51</v>
      </c>
      <c r="D58" s="37" t="s">
        <v>29</v>
      </c>
      <c r="E58" s="38">
        <v>973.26</v>
      </c>
      <c r="F58" s="37">
        <v>11</v>
      </c>
      <c r="G58" s="40">
        <v>0</v>
      </c>
      <c r="H58" s="41">
        <v>45470</v>
      </c>
      <c r="I58" s="38">
        <v>389.3</v>
      </c>
      <c r="J58" s="38">
        <f t="shared" si="3"/>
        <v>973.26</v>
      </c>
      <c r="K58" s="38">
        <f t="shared" si="4"/>
        <v>583.96</v>
      </c>
      <c r="L58" s="42">
        <f t="shared" ca="1" si="5"/>
        <v>46323.405950462962</v>
      </c>
    </row>
    <row r="59" spans="1:12" x14ac:dyDescent="0.3">
      <c r="A59" s="37" t="s">
        <v>58</v>
      </c>
      <c r="B59" s="37" t="s">
        <v>81</v>
      </c>
      <c r="C59" s="37" t="s">
        <v>41</v>
      </c>
      <c r="D59" s="37" t="s">
        <v>38</v>
      </c>
      <c r="E59" s="38">
        <v>741.61</v>
      </c>
      <c r="F59" s="37">
        <v>1</v>
      </c>
      <c r="G59" s="40">
        <v>0.2</v>
      </c>
      <c r="H59" s="41">
        <v>45471</v>
      </c>
      <c r="I59" s="38">
        <v>148.32</v>
      </c>
      <c r="J59" s="38">
        <f t="shared" si="3"/>
        <v>927.01249999999993</v>
      </c>
      <c r="K59" s="38">
        <f t="shared" si="4"/>
        <v>593.29</v>
      </c>
      <c r="L59" s="42">
        <f t="shared" ca="1" si="5"/>
        <v>46323.405950462962</v>
      </c>
    </row>
    <row r="60" spans="1:12" x14ac:dyDescent="0.3">
      <c r="A60" s="37" t="s">
        <v>84</v>
      </c>
      <c r="B60" s="37" t="s">
        <v>55</v>
      </c>
      <c r="C60" s="37" t="s">
        <v>41</v>
      </c>
      <c r="D60" s="37" t="s">
        <v>29</v>
      </c>
      <c r="E60" s="38">
        <v>1248.82</v>
      </c>
      <c r="F60" s="37">
        <v>2</v>
      </c>
      <c r="G60" s="40">
        <v>0.1</v>
      </c>
      <c r="H60" s="41">
        <v>45473</v>
      </c>
      <c r="I60" s="38">
        <v>449.58</v>
      </c>
      <c r="J60" s="38">
        <f t="shared" si="3"/>
        <v>1387.5777777777778</v>
      </c>
      <c r="K60" s="38">
        <f t="shared" si="4"/>
        <v>799.24</v>
      </c>
      <c r="L60" s="42">
        <f t="shared" ca="1" si="5"/>
        <v>46323.405950462962</v>
      </c>
    </row>
    <row r="61" spans="1:12" x14ac:dyDescent="0.3">
      <c r="A61" s="37" t="s">
        <v>30</v>
      </c>
      <c r="B61" s="37" t="s">
        <v>76</v>
      </c>
      <c r="C61" s="37" t="s">
        <v>28</v>
      </c>
      <c r="D61" s="37" t="s">
        <v>32</v>
      </c>
      <c r="E61" s="38">
        <v>1360.36</v>
      </c>
      <c r="F61" s="37">
        <v>17</v>
      </c>
      <c r="G61" s="40">
        <v>0</v>
      </c>
      <c r="H61" s="41">
        <v>45473</v>
      </c>
      <c r="I61" s="38">
        <v>680.18</v>
      </c>
      <c r="J61" s="38">
        <f t="shared" si="3"/>
        <v>1360.36</v>
      </c>
      <c r="K61" s="38">
        <f t="shared" si="4"/>
        <v>680.18</v>
      </c>
      <c r="L61" s="42">
        <f t="shared" ca="1" si="5"/>
        <v>46323.405950462962</v>
      </c>
    </row>
    <row r="62" spans="1:12" x14ac:dyDescent="0.3">
      <c r="A62" s="37" t="s">
        <v>74</v>
      </c>
      <c r="B62" s="37" t="s">
        <v>48</v>
      </c>
      <c r="C62" s="37" t="s">
        <v>35</v>
      </c>
      <c r="D62" s="37" t="s">
        <v>29</v>
      </c>
      <c r="E62" s="38">
        <v>1383.3</v>
      </c>
      <c r="F62" s="37">
        <v>8</v>
      </c>
      <c r="G62" s="40">
        <v>0.1</v>
      </c>
      <c r="H62" s="41">
        <v>45478</v>
      </c>
      <c r="I62" s="38">
        <v>497.99</v>
      </c>
      <c r="J62" s="38">
        <f t="shared" si="3"/>
        <v>1537</v>
      </c>
      <c r="K62" s="38">
        <f t="shared" si="4"/>
        <v>885.31</v>
      </c>
      <c r="L62" s="42">
        <f t="shared" ca="1" si="5"/>
        <v>46323.405950462962</v>
      </c>
    </row>
    <row r="63" spans="1:12" x14ac:dyDescent="0.3">
      <c r="A63" s="37" t="s">
        <v>52</v>
      </c>
      <c r="B63" s="37" t="s">
        <v>72</v>
      </c>
      <c r="C63" s="37" t="s">
        <v>51</v>
      </c>
      <c r="D63" s="37" t="s">
        <v>56</v>
      </c>
      <c r="E63" s="38">
        <v>488.99</v>
      </c>
      <c r="F63" s="37">
        <v>9</v>
      </c>
      <c r="G63" s="40">
        <v>0</v>
      </c>
      <c r="H63" s="41">
        <v>45479</v>
      </c>
      <c r="I63" s="38">
        <v>220.05</v>
      </c>
      <c r="J63" s="38">
        <f t="shared" si="3"/>
        <v>488.99</v>
      </c>
      <c r="K63" s="38">
        <f t="shared" si="4"/>
        <v>268.94</v>
      </c>
      <c r="L63" s="42">
        <f t="shared" ca="1" si="5"/>
        <v>46323.405950462962</v>
      </c>
    </row>
    <row r="64" spans="1:12" x14ac:dyDescent="0.3">
      <c r="A64" s="37" t="s">
        <v>47</v>
      </c>
      <c r="B64" s="37" t="s">
        <v>48</v>
      </c>
      <c r="C64" s="37" t="s">
        <v>35</v>
      </c>
      <c r="D64" s="37" t="s">
        <v>44</v>
      </c>
      <c r="E64" s="38">
        <v>933.71</v>
      </c>
      <c r="F64" s="37">
        <v>17</v>
      </c>
      <c r="G64" s="40">
        <v>0.1</v>
      </c>
      <c r="H64" s="41">
        <v>45481</v>
      </c>
      <c r="I64" s="38">
        <v>294.12</v>
      </c>
      <c r="J64" s="38">
        <f t="shared" si="3"/>
        <v>1037.4555555555555</v>
      </c>
      <c r="K64" s="38">
        <f t="shared" si="4"/>
        <v>639.59</v>
      </c>
      <c r="L64" s="42">
        <f t="shared" ca="1" si="5"/>
        <v>46323.405950462962</v>
      </c>
    </row>
    <row r="65" spans="1:12" x14ac:dyDescent="0.3">
      <c r="A65" s="37" t="s">
        <v>84</v>
      </c>
      <c r="B65" s="37" t="s">
        <v>27</v>
      </c>
      <c r="C65" s="37" t="s">
        <v>28</v>
      </c>
      <c r="D65" s="37" t="s">
        <v>38</v>
      </c>
      <c r="E65" s="38">
        <v>1005.53</v>
      </c>
      <c r="F65" s="37">
        <v>17</v>
      </c>
      <c r="G65" s="40">
        <v>0.2</v>
      </c>
      <c r="H65" s="41">
        <v>45481</v>
      </c>
      <c r="I65" s="38">
        <v>201.11</v>
      </c>
      <c r="J65" s="38">
        <f t="shared" si="3"/>
        <v>1256.9124999999999</v>
      </c>
      <c r="K65" s="38">
        <f t="shared" si="4"/>
        <v>804.42</v>
      </c>
      <c r="L65" s="42">
        <f t="shared" ca="1" si="5"/>
        <v>46323.405950462962</v>
      </c>
    </row>
    <row r="66" spans="1:12" x14ac:dyDescent="0.3">
      <c r="A66" s="37" t="s">
        <v>58</v>
      </c>
      <c r="B66" s="37" t="s">
        <v>78</v>
      </c>
      <c r="C66" s="37" t="s">
        <v>37</v>
      </c>
      <c r="D66" s="37" t="s">
        <v>38</v>
      </c>
      <c r="E66" s="38">
        <v>1100.0999999999999</v>
      </c>
      <c r="F66" s="37">
        <v>5</v>
      </c>
      <c r="G66" s="40">
        <v>0.05</v>
      </c>
      <c r="H66" s="41">
        <v>45482</v>
      </c>
      <c r="I66" s="38">
        <v>261.27</v>
      </c>
      <c r="J66" s="38">
        <f t="shared" ref="J66:J97" si="6">E66/(1-G66)</f>
        <v>1158</v>
      </c>
      <c r="K66" s="38">
        <f t="shared" ref="K66:K97" si="7">E66-I66</f>
        <v>838.82999999999993</v>
      </c>
      <c r="L66" s="42">
        <f t="shared" ref="L66:L97" ca="1" si="8">NOW()</f>
        <v>46323.405950462962</v>
      </c>
    </row>
    <row r="67" spans="1:12" x14ac:dyDescent="0.3">
      <c r="A67" s="37" t="s">
        <v>84</v>
      </c>
      <c r="B67" s="37" t="s">
        <v>40</v>
      </c>
      <c r="C67" s="37" t="s">
        <v>41</v>
      </c>
      <c r="D67" s="37" t="s">
        <v>44</v>
      </c>
      <c r="E67" s="38">
        <v>1034.7</v>
      </c>
      <c r="F67" s="37">
        <v>15</v>
      </c>
      <c r="G67" s="40">
        <v>0.15</v>
      </c>
      <c r="H67" s="41">
        <v>45487</v>
      </c>
      <c r="I67" s="38">
        <v>307.82</v>
      </c>
      <c r="J67" s="38">
        <f t="shared" si="6"/>
        <v>1217.294117647059</v>
      </c>
      <c r="K67" s="38">
        <f t="shared" si="7"/>
        <v>726.88000000000011</v>
      </c>
      <c r="L67" s="42">
        <f t="shared" ca="1" si="8"/>
        <v>46323.405950462962</v>
      </c>
    </row>
    <row r="68" spans="1:12" x14ac:dyDescent="0.3">
      <c r="A68" s="37" t="s">
        <v>82</v>
      </c>
      <c r="B68" s="37" t="s">
        <v>48</v>
      </c>
      <c r="C68" s="37" t="s">
        <v>37</v>
      </c>
      <c r="D68" s="37" t="s">
        <v>29</v>
      </c>
      <c r="E68" s="38">
        <v>876.44</v>
      </c>
      <c r="F68" s="37">
        <v>12</v>
      </c>
      <c r="G68" s="40">
        <v>0.05</v>
      </c>
      <c r="H68" s="41">
        <v>45488</v>
      </c>
      <c r="I68" s="38">
        <v>333.05</v>
      </c>
      <c r="J68" s="38">
        <f t="shared" si="6"/>
        <v>922.56842105263172</v>
      </c>
      <c r="K68" s="38">
        <f t="shared" si="7"/>
        <v>543.3900000000001</v>
      </c>
      <c r="L68" s="42">
        <f t="shared" ca="1" si="8"/>
        <v>46323.405950462962</v>
      </c>
    </row>
    <row r="69" spans="1:12" x14ac:dyDescent="0.3">
      <c r="A69" s="37" t="s">
        <v>85</v>
      </c>
      <c r="B69" s="37" t="s">
        <v>72</v>
      </c>
      <c r="C69" s="37" t="s">
        <v>28</v>
      </c>
      <c r="D69" s="37" t="s">
        <v>44</v>
      </c>
      <c r="E69" s="38">
        <v>1371.34</v>
      </c>
      <c r="F69" s="37">
        <v>5</v>
      </c>
      <c r="G69" s="40">
        <v>0.05</v>
      </c>
      <c r="H69" s="41">
        <v>45488</v>
      </c>
      <c r="I69" s="38">
        <v>455.97</v>
      </c>
      <c r="J69" s="38">
        <f t="shared" si="6"/>
        <v>1443.5157894736842</v>
      </c>
      <c r="K69" s="38">
        <f t="shared" si="7"/>
        <v>915.36999999999989</v>
      </c>
      <c r="L69" s="42">
        <f t="shared" ca="1" si="8"/>
        <v>46323.405950462962</v>
      </c>
    </row>
    <row r="70" spans="1:12" x14ac:dyDescent="0.3">
      <c r="A70" s="37" t="s">
        <v>74</v>
      </c>
      <c r="B70" s="37" t="s">
        <v>64</v>
      </c>
      <c r="C70" s="37" t="s">
        <v>41</v>
      </c>
      <c r="D70" s="37" t="s">
        <v>38</v>
      </c>
      <c r="E70" s="38">
        <v>1020.26</v>
      </c>
      <c r="F70" s="37">
        <v>11</v>
      </c>
      <c r="G70" s="40">
        <v>0.05</v>
      </c>
      <c r="H70" s="41">
        <v>45494</v>
      </c>
      <c r="I70" s="38">
        <v>242.31</v>
      </c>
      <c r="J70" s="38">
        <f t="shared" si="6"/>
        <v>1073.957894736842</v>
      </c>
      <c r="K70" s="38">
        <f t="shared" si="7"/>
        <v>777.95</v>
      </c>
      <c r="L70" s="42">
        <f t="shared" ca="1" si="8"/>
        <v>46323.405950462962</v>
      </c>
    </row>
    <row r="71" spans="1:12" x14ac:dyDescent="0.3">
      <c r="A71" s="37" t="s">
        <v>61</v>
      </c>
      <c r="B71" s="37" t="s">
        <v>27</v>
      </c>
      <c r="C71" s="37" t="s">
        <v>51</v>
      </c>
      <c r="D71" s="37" t="s">
        <v>56</v>
      </c>
      <c r="E71" s="38">
        <v>804.81</v>
      </c>
      <c r="F71" s="37">
        <v>1</v>
      </c>
      <c r="G71" s="40">
        <v>0.05</v>
      </c>
      <c r="H71" s="41">
        <v>45502</v>
      </c>
      <c r="I71" s="38">
        <v>344.06</v>
      </c>
      <c r="J71" s="38">
        <f t="shared" si="6"/>
        <v>847.16842105263152</v>
      </c>
      <c r="K71" s="38">
        <f t="shared" si="7"/>
        <v>460.74999999999994</v>
      </c>
      <c r="L71" s="42">
        <f t="shared" ca="1" si="8"/>
        <v>46323.405950462962</v>
      </c>
    </row>
    <row r="72" spans="1:12" x14ac:dyDescent="0.3">
      <c r="A72" s="37" t="s">
        <v>39</v>
      </c>
      <c r="B72" s="37" t="s">
        <v>72</v>
      </c>
      <c r="C72" s="37" t="s">
        <v>51</v>
      </c>
      <c r="D72" s="37" t="s">
        <v>38</v>
      </c>
      <c r="E72" s="38">
        <v>608.66</v>
      </c>
      <c r="F72" s="37">
        <v>1</v>
      </c>
      <c r="G72" s="40">
        <v>0.05</v>
      </c>
      <c r="H72" s="41">
        <v>45503</v>
      </c>
      <c r="I72" s="38">
        <v>144.56</v>
      </c>
      <c r="J72" s="38">
        <f t="shared" si="6"/>
        <v>640.69473684210527</v>
      </c>
      <c r="K72" s="38">
        <f t="shared" si="7"/>
        <v>464.09999999999997</v>
      </c>
      <c r="L72" s="42">
        <f t="shared" ca="1" si="8"/>
        <v>46323.405950462962</v>
      </c>
    </row>
    <row r="73" spans="1:12" x14ac:dyDescent="0.3">
      <c r="A73" s="37" t="s">
        <v>85</v>
      </c>
      <c r="B73" s="37" t="s">
        <v>86</v>
      </c>
      <c r="C73" s="37" t="s">
        <v>37</v>
      </c>
      <c r="D73" s="37" t="s">
        <v>56</v>
      </c>
      <c r="E73" s="38">
        <v>981.2</v>
      </c>
      <c r="F73" s="37">
        <v>19</v>
      </c>
      <c r="G73" s="40">
        <v>0</v>
      </c>
      <c r="H73" s="41">
        <v>45504</v>
      </c>
      <c r="I73" s="38">
        <v>441.54</v>
      </c>
      <c r="J73" s="38">
        <f t="shared" si="6"/>
        <v>981.2</v>
      </c>
      <c r="K73" s="38">
        <f t="shared" si="7"/>
        <v>539.66000000000008</v>
      </c>
      <c r="L73" s="42">
        <f t="shared" ca="1" si="8"/>
        <v>46323.405950462962</v>
      </c>
    </row>
    <row r="74" spans="1:12" x14ac:dyDescent="0.3">
      <c r="A74" s="37" t="s">
        <v>87</v>
      </c>
      <c r="B74" s="37" t="s">
        <v>72</v>
      </c>
      <c r="C74" s="37" t="s">
        <v>35</v>
      </c>
      <c r="D74" s="37" t="s">
        <v>38</v>
      </c>
      <c r="E74" s="38">
        <v>539.77</v>
      </c>
      <c r="F74" s="37">
        <v>10</v>
      </c>
      <c r="G74" s="40">
        <v>0.15</v>
      </c>
      <c r="H74" s="41">
        <v>45509</v>
      </c>
      <c r="I74" s="38">
        <v>114.7</v>
      </c>
      <c r="J74" s="38">
        <f t="shared" si="6"/>
        <v>635.02352941176468</v>
      </c>
      <c r="K74" s="38">
        <f t="shared" si="7"/>
        <v>425.07</v>
      </c>
      <c r="L74" s="42">
        <f t="shared" ca="1" si="8"/>
        <v>46323.405950462962</v>
      </c>
    </row>
    <row r="75" spans="1:12" x14ac:dyDescent="0.3">
      <c r="A75" s="37" t="s">
        <v>30</v>
      </c>
      <c r="B75" s="37" t="s">
        <v>88</v>
      </c>
      <c r="C75" s="37" t="s">
        <v>37</v>
      </c>
      <c r="D75" s="37" t="s">
        <v>29</v>
      </c>
      <c r="E75" s="38">
        <v>804.45</v>
      </c>
      <c r="F75" s="37">
        <v>5</v>
      </c>
      <c r="G75" s="40">
        <v>0.2</v>
      </c>
      <c r="H75" s="41">
        <v>45509</v>
      </c>
      <c r="I75" s="38">
        <v>257.42</v>
      </c>
      <c r="J75" s="38">
        <f t="shared" si="6"/>
        <v>1005.5625</v>
      </c>
      <c r="K75" s="38">
        <f t="shared" si="7"/>
        <v>547.03</v>
      </c>
      <c r="L75" s="42">
        <f t="shared" ca="1" si="8"/>
        <v>46323.405950462962</v>
      </c>
    </row>
    <row r="76" spans="1:12" x14ac:dyDescent="0.3">
      <c r="A76" s="37" t="s">
        <v>87</v>
      </c>
      <c r="B76" s="37" t="s">
        <v>55</v>
      </c>
      <c r="C76" s="37" t="s">
        <v>28</v>
      </c>
      <c r="D76" s="37" t="s">
        <v>38</v>
      </c>
      <c r="E76" s="38">
        <v>1526.6</v>
      </c>
      <c r="F76" s="37">
        <v>13</v>
      </c>
      <c r="G76" s="40">
        <v>0.2</v>
      </c>
      <c r="H76" s="41">
        <v>45512</v>
      </c>
      <c r="I76" s="38">
        <v>305.32</v>
      </c>
      <c r="J76" s="38">
        <f t="shared" si="6"/>
        <v>1908.2499999999998</v>
      </c>
      <c r="K76" s="38">
        <f t="shared" si="7"/>
        <v>1221.28</v>
      </c>
      <c r="L76" s="42">
        <f t="shared" ca="1" si="8"/>
        <v>46323.405950462962</v>
      </c>
    </row>
    <row r="77" spans="1:12" x14ac:dyDescent="0.3">
      <c r="A77" s="37" t="s">
        <v>30</v>
      </c>
      <c r="B77" s="37" t="s">
        <v>46</v>
      </c>
      <c r="C77" s="37" t="s">
        <v>28</v>
      </c>
      <c r="D77" s="37" t="s">
        <v>38</v>
      </c>
      <c r="E77" s="38">
        <v>1215.26</v>
      </c>
      <c r="F77" s="37">
        <v>5</v>
      </c>
      <c r="G77" s="40">
        <v>0.15</v>
      </c>
      <c r="H77" s="41">
        <v>45513</v>
      </c>
      <c r="I77" s="38">
        <v>258.24</v>
      </c>
      <c r="J77" s="38">
        <f t="shared" si="6"/>
        <v>1429.7176470588236</v>
      </c>
      <c r="K77" s="38">
        <f t="shared" si="7"/>
        <v>957.02</v>
      </c>
      <c r="L77" s="42">
        <f t="shared" ca="1" si="8"/>
        <v>46323.405950462962</v>
      </c>
    </row>
    <row r="78" spans="1:12" x14ac:dyDescent="0.3">
      <c r="A78" s="37" t="s">
        <v>36</v>
      </c>
      <c r="B78" s="37" t="s">
        <v>70</v>
      </c>
      <c r="C78" s="37" t="s">
        <v>51</v>
      </c>
      <c r="D78" s="37" t="s">
        <v>44</v>
      </c>
      <c r="E78" s="38">
        <v>1261.3399999999999</v>
      </c>
      <c r="F78" s="37">
        <v>3</v>
      </c>
      <c r="G78" s="40">
        <v>0</v>
      </c>
      <c r="H78" s="41">
        <v>45519</v>
      </c>
      <c r="I78" s="38">
        <v>441.47</v>
      </c>
      <c r="J78" s="38">
        <f t="shared" si="6"/>
        <v>1261.3399999999999</v>
      </c>
      <c r="K78" s="38">
        <f t="shared" si="7"/>
        <v>819.86999999999989</v>
      </c>
      <c r="L78" s="42">
        <f t="shared" ca="1" si="8"/>
        <v>46323.405950462962</v>
      </c>
    </row>
    <row r="79" spans="1:12" x14ac:dyDescent="0.3">
      <c r="A79" s="37" t="s">
        <v>89</v>
      </c>
      <c r="B79" s="37" t="s">
        <v>62</v>
      </c>
      <c r="C79" s="37" t="s">
        <v>41</v>
      </c>
      <c r="D79" s="37" t="s">
        <v>44</v>
      </c>
      <c r="E79" s="38">
        <v>518.07000000000005</v>
      </c>
      <c r="F79" s="37">
        <v>7</v>
      </c>
      <c r="G79" s="40">
        <v>0.05</v>
      </c>
      <c r="H79" s="41">
        <v>45522</v>
      </c>
      <c r="I79" s="38">
        <v>172.26</v>
      </c>
      <c r="J79" s="38">
        <f t="shared" si="6"/>
        <v>545.33684210526326</v>
      </c>
      <c r="K79" s="38">
        <f t="shared" si="7"/>
        <v>345.81000000000006</v>
      </c>
      <c r="L79" s="42">
        <f t="shared" ca="1" si="8"/>
        <v>46323.405950462962</v>
      </c>
    </row>
    <row r="80" spans="1:12" x14ac:dyDescent="0.3">
      <c r="A80" s="37" t="s">
        <v>47</v>
      </c>
      <c r="B80" s="37" t="s">
        <v>46</v>
      </c>
      <c r="C80" s="37" t="s">
        <v>28</v>
      </c>
      <c r="D80" s="37" t="s">
        <v>56</v>
      </c>
      <c r="E80" s="38">
        <v>1111.3399999999999</v>
      </c>
      <c r="F80" s="37">
        <v>1</v>
      </c>
      <c r="G80" s="40">
        <v>0</v>
      </c>
      <c r="H80" s="41">
        <v>45523</v>
      </c>
      <c r="I80" s="38">
        <v>500.1</v>
      </c>
      <c r="J80" s="38">
        <f t="shared" si="6"/>
        <v>1111.3399999999999</v>
      </c>
      <c r="K80" s="38">
        <f t="shared" si="7"/>
        <v>611.2399999999999</v>
      </c>
      <c r="L80" s="42">
        <f t="shared" ca="1" si="8"/>
        <v>46323.405950462962</v>
      </c>
    </row>
    <row r="81" spans="1:12" x14ac:dyDescent="0.3">
      <c r="A81" s="37" t="s">
        <v>39</v>
      </c>
      <c r="B81" s="37" t="s">
        <v>48</v>
      </c>
      <c r="C81" s="37" t="s">
        <v>35</v>
      </c>
      <c r="D81" s="37" t="s">
        <v>32</v>
      </c>
      <c r="E81" s="38">
        <v>1291.47</v>
      </c>
      <c r="F81" s="37">
        <v>18</v>
      </c>
      <c r="G81" s="40">
        <v>0.1</v>
      </c>
      <c r="H81" s="41">
        <v>45526</v>
      </c>
      <c r="I81" s="38">
        <v>581.16</v>
      </c>
      <c r="J81" s="38">
        <f t="shared" si="6"/>
        <v>1434.9666666666667</v>
      </c>
      <c r="K81" s="38">
        <f t="shared" si="7"/>
        <v>710.31000000000006</v>
      </c>
      <c r="L81" s="42">
        <f t="shared" ca="1" si="8"/>
        <v>46323.405950462962</v>
      </c>
    </row>
    <row r="82" spans="1:12" x14ac:dyDescent="0.3">
      <c r="A82" s="37" t="s">
        <v>42</v>
      </c>
      <c r="B82" s="37" t="s">
        <v>72</v>
      </c>
      <c r="C82" s="37" t="s">
        <v>41</v>
      </c>
      <c r="D82" s="37" t="s">
        <v>29</v>
      </c>
      <c r="E82" s="38">
        <v>679.71</v>
      </c>
      <c r="F82" s="37">
        <v>19</v>
      </c>
      <c r="G82" s="40">
        <v>0</v>
      </c>
      <c r="H82" s="41">
        <v>45534</v>
      </c>
      <c r="I82" s="38">
        <v>271.88</v>
      </c>
      <c r="J82" s="38">
        <f t="shared" si="6"/>
        <v>679.71</v>
      </c>
      <c r="K82" s="38">
        <f t="shared" si="7"/>
        <v>407.83000000000004</v>
      </c>
      <c r="L82" s="42">
        <f t="shared" ca="1" si="8"/>
        <v>46323.405950462962</v>
      </c>
    </row>
    <row r="83" spans="1:12" x14ac:dyDescent="0.3">
      <c r="A83" s="37" t="s">
        <v>85</v>
      </c>
      <c r="B83" s="37" t="s">
        <v>50</v>
      </c>
      <c r="C83" s="37" t="s">
        <v>35</v>
      </c>
      <c r="D83" s="37" t="s">
        <v>44</v>
      </c>
      <c r="E83" s="38">
        <v>1143.69</v>
      </c>
      <c r="F83" s="37">
        <v>17</v>
      </c>
      <c r="G83" s="40">
        <v>0</v>
      </c>
      <c r="H83" s="41">
        <v>45534</v>
      </c>
      <c r="I83" s="38">
        <v>400.29</v>
      </c>
      <c r="J83" s="38">
        <f t="shared" si="6"/>
        <v>1143.69</v>
      </c>
      <c r="K83" s="38">
        <f t="shared" si="7"/>
        <v>743.40000000000009</v>
      </c>
      <c r="L83" s="42">
        <f t="shared" ca="1" si="8"/>
        <v>46323.405950462962</v>
      </c>
    </row>
    <row r="84" spans="1:12" x14ac:dyDescent="0.3">
      <c r="A84" s="37" t="s">
        <v>69</v>
      </c>
      <c r="B84" s="37" t="s">
        <v>67</v>
      </c>
      <c r="C84" s="37" t="s">
        <v>51</v>
      </c>
      <c r="D84" s="37" t="s">
        <v>38</v>
      </c>
      <c r="E84" s="38">
        <v>790.08</v>
      </c>
      <c r="F84" s="37">
        <v>7</v>
      </c>
      <c r="G84" s="40">
        <v>0.1</v>
      </c>
      <c r="H84" s="41">
        <v>45536</v>
      </c>
      <c r="I84" s="38">
        <v>177.77</v>
      </c>
      <c r="J84" s="38">
        <f t="shared" si="6"/>
        <v>877.86666666666667</v>
      </c>
      <c r="K84" s="38">
        <f t="shared" si="7"/>
        <v>612.31000000000006</v>
      </c>
      <c r="L84" s="42">
        <f t="shared" ca="1" si="8"/>
        <v>46323.405950462962</v>
      </c>
    </row>
    <row r="85" spans="1:12" x14ac:dyDescent="0.3">
      <c r="A85" s="37" t="s">
        <v>36</v>
      </c>
      <c r="B85" s="37" t="s">
        <v>65</v>
      </c>
      <c r="C85" s="37" t="s">
        <v>51</v>
      </c>
      <c r="D85" s="37" t="s">
        <v>29</v>
      </c>
      <c r="E85" s="38">
        <v>1070.68</v>
      </c>
      <c r="F85" s="37">
        <v>7</v>
      </c>
      <c r="G85" s="40">
        <v>0.05</v>
      </c>
      <c r="H85" s="41">
        <v>45536</v>
      </c>
      <c r="I85" s="38">
        <v>406.86</v>
      </c>
      <c r="J85" s="38">
        <f t="shared" si="6"/>
        <v>1127.0315789473686</v>
      </c>
      <c r="K85" s="38">
        <f t="shared" si="7"/>
        <v>663.82</v>
      </c>
      <c r="L85" s="42">
        <f t="shared" ca="1" si="8"/>
        <v>46323.405950462962</v>
      </c>
    </row>
    <row r="86" spans="1:12" x14ac:dyDescent="0.3">
      <c r="A86" s="37" t="s">
        <v>75</v>
      </c>
      <c r="B86" s="37" t="s">
        <v>53</v>
      </c>
      <c r="C86" s="37" t="s">
        <v>28</v>
      </c>
      <c r="D86" s="37" t="s">
        <v>32</v>
      </c>
      <c r="E86" s="38">
        <v>1168.8900000000001</v>
      </c>
      <c r="F86" s="37">
        <v>4</v>
      </c>
      <c r="G86" s="40">
        <v>0.1</v>
      </c>
      <c r="H86" s="41">
        <v>45544</v>
      </c>
      <c r="I86" s="38">
        <v>526</v>
      </c>
      <c r="J86" s="38">
        <f t="shared" si="6"/>
        <v>1298.7666666666667</v>
      </c>
      <c r="K86" s="38">
        <f t="shared" si="7"/>
        <v>642.8900000000001</v>
      </c>
      <c r="L86" s="42">
        <f t="shared" ca="1" si="8"/>
        <v>46323.405950462962</v>
      </c>
    </row>
    <row r="87" spans="1:12" x14ac:dyDescent="0.3">
      <c r="A87" s="37" t="s">
        <v>84</v>
      </c>
      <c r="B87" s="37" t="s">
        <v>27</v>
      </c>
      <c r="C87" s="37" t="s">
        <v>37</v>
      </c>
      <c r="D87" s="37" t="s">
        <v>38</v>
      </c>
      <c r="E87" s="38">
        <v>1335.87</v>
      </c>
      <c r="F87" s="37">
        <v>17</v>
      </c>
      <c r="G87" s="40">
        <v>0</v>
      </c>
      <c r="H87" s="41">
        <v>45544</v>
      </c>
      <c r="I87" s="38">
        <v>333.97</v>
      </c>
      <c r="J87" s="38">
        <f t="shared" si="6"/>
        <v>1335.87</v>
      </c>
      <c r="K87" s="38">
        <f t="shared" si="7"/>
        <v>1001.8999999999999</v>
      </c>
      <c r="L87" s="42">
        <f t="shared" ca="1" si="8"/>
        <v>46323.405950462962</v>
      </c>
    </row>
    <row r="88" spans="1:12" x14ac:dyDescent="0.3">
      <c r="A88" s="37" t="s">
        <v>57</v>
      </c>
      <c r="B88" s="37" t="s">
        <v>72</v>
      </c>
      <c r="C88" s="37" t="s">
        <v>35</v>
      </c>
      <c r="D88" s="37" t="s">
        <v>44</v>
      </c>
      <c r="E88" s="38">
        <v>873.7</v>
      </c>
      <c r="F88" s="37">
        <v>9</v>
      </c>
      <c r="G88" s="40">
        <v>0</v>
      </c>
      <c r="H88" s="41">
        <v>45546</v>
      </c>
      <c r="I88" s="38">
        <v>305.8</v>
      </c>
      <c r="J88" s="38">
        <f t="shared" si="6"/>
        <v>873.7</v>
      </c>
      <c r="K88" s="38">
        <f t="shared" si="7"/>
        <v>567.90000000000009</v>
      </c>
      <c r="L88" s="42">
        <f t="shared" ca="1" si="8"/>
        <v>46323.405950462962</v>
      </c>
    </row>
    <row r="89" spans="1:12" x14ac:dyDescent="0.3">
      <c r="A89" s="37" t="s">
        <v>89</v>
      </c>
      <c r="B89" s="37" t="s">
        <v>81</v>
      </c>
      <c r="C89" s="37" t="s">
        <v>28</v>
      </c>
      <c r="D89" s="37" t="s">
        <v>56</v>
      </c>
      <c r="E89" s="38">
        <v>1443.98</v>
      </c>
      <c r="F89" s="37">
        <v>19</v>
      </c>
      <c r="G89" s="40">
        <v>0</v>
      </c>
      <c r="H89" s="41">
        <v>45547</v>
      </c>
      <c r="I89" s="38">
        <v>649.79</v>
      </c>
      <c r="J89" s="38">
        <f t="shared" si="6"/>
        <v>1443.98</v>
      </c>
      <c r="K89" s="38">
        <f t="shared" si="7"/>
        <v>794.19</v>
      </c>
      <c r="L89" s="42">
        <f t="shared" ca="1" si="8"/>
        <v>46323.405950462962</v>
      </c>
    </row>
    <row r="90" spans="1:12" x14ac:dyDescent="0.3">
      <c r="A90" s="37" t="s">
        <v>57</v>
      </c>
      <c r="B90" s="37" t="s">
        <v>40</v>
      </c>
      <c r="C90" s="37" t="s">
        <v>35</v>
      </c>
      <c r="D90" s="37" t="s">
        <v>56</v>
      </c>
      <c r="E90" s="38">
        <v>1154.33</v>
      </c>
      <c r="F90" s="37">
        <v>11</v>
      </c>
      <c r="G90" s="40">
        <v>0.15</v>
      </c>
      <c r="H90" s="41">
        <v>45549</v>
      </c>
      <c r="I90" s="38">
        <v>441.53</v>
      </c>
      <c r="J90" s="38">
        <f t="shared" si="6"/>
        <v>1358.035294117647</v>
      </c>
      <c r="K90" s="38">
        <f t="shared" si="7"/>
        <v>712.8</v>
      </c>
      <c r="L90" s="42">
        <f t="shared" ca="1" si="8"/>
        <v>46323.405950462962</v>
      </c>
    </row>
    <row r="91" spans="1:12" x14ac:dyDescent="0.3">
      <c r="A91" s="37" t="s">
        <v>66</v>
      </c>
      <c r="B91" s="37" t="s">
        <v>67</v>
      </c>
      <c r="C91" s="37" t="s">
        <v>37</v>
      </c>
      <c r="D91" s="37" t="s">
        <v>29</v>
      </c>
      <c r="E91" s="38">
        <v>1264.49</v>
      </c>
      <c r="F91" s="37">
        <v>16</v>
      </c>
      <c r="G91" s="40">
        <v>0.05</v>
      </c>
      <c r="H91" s="41">
        <v>45549</v>
      </c>
      <c r="I91" s="38">
        <v>480.51</v>
      </c>
      <c r="J91" s="38">
        <f t="shared" si="6"/>
        <v>1331.042105263158</v>
      </c>
      <c r="K91" s="38">
        <f t="shared" si="7"/>
        <v>783.98</v>
      </c>
      <c r="L91" s="42">
        <f t="shared" ca="1" si="8"/>
        <v>46323.405950462962</v>
      </c>
    </row>
    <row r="92" spans="1:12" x14ac:dyDescent="0.3">
      <c r="A92" s="37" t="s">
        <v>42</v>
      </c>
      <c r="B92" s="37" t="s">
        <v>83</v>
      </c>
      <c r="C92" s="37" t="s">
        <v>28</v>
      </c>
      <c r="D92" s="37" t="s">
        <v>44</v>
      </c>
      <c r="E92" s="38">
        <v>1101.55</v>
      </c>
      <c r="F92" s="37">
        <v>4</v>
      </c>
      <c r="G92" s="40">
        <v>0.1</v>
      </c>
      <c r="H92" s="41">
        <v>45551</v>
      </c>
      <c r="I92" s="38">
        <v>346.99</v>
      </c>
      <c r="J92" s="38">
        <f t="shared" si="6"/>
        <v>1223.9444444444443</v>
      </c>
      <c r="K92" s="38">
        <f t="shared" si="7"/>
        <v>754.56</v>
      </c>
      <c r="L92" s="42">
        <f t="shared" ca="1" si="8"/>
        <v>46323.405950462962</v>
      </c>
    </row>
    <row r="93" spans="1:12" x14ac:dyDescent="0.3">
      <c r="A93" s="37" t="s">
        <v>90</v>
      </c>
      <c r="B93" s="37" t="s">
        <v>31</v>
      </c>
      <c r="C93" s="37" t="s">
        <v>37</v>
      </c>
      <c r="D93" s="37" t="s">
        <v>44</v>
      </c>
      <c r="E93" s="38">
        <v>727.73</v>
      </c>
      <c r="F93" s="37">
        <v>1</v>
      </c>
      <c r="G93" s="40">
        <v>0.1</v>
      </c>
      <c r="H93" s="41">
        <v>45552</v>
      </c>
      <c r="I93" s="38">
        <v>229.23</v>
      </c>
      <c r="J93" s="38">
        <f t="shared" si="6"/>
        <v>808.58888888888885</v>
      </c>
      <c r="K93" s="38">
        <f t="shared" si="7"/>
        <v>498.5</v>
      </c>
      <c r="L93" s="42">
        <f t="shared" ca="1" si="8"/>
        <v>46323.405950462962</v>
      </c>
    </row>
    <row r="94" spans="1:12" x14ac:dyDescent="0.3">
      <c r="A94" s="37" t="s">
        <v>91</v>
      </c>
      <c r="B94" s="37" t="s">
        <v>55</v>
      </c>
      <c r="C94" s="37" t="s">
        <v>35</v>
      </c>
      <c r="D94" s="37" t="s">
        <v>56</v>
      </c>
      <c r="E94" s="38">
        <v>875.41</v>
      </c>
      <c r="F94" s="37">
        <v>13</v>
      </c>
      <c r="G94" s="40">
        <v>0.15</v>
      </c>
      <c r="H94" s="41">
        <v>45552</v>
      </c>
      <c r="I94" s="38">
        <v>334.84</v>
      </c>
      <c r="J94" s="38">
        <f t="shared" si="6"/>
        <v>1029.8941176470589</v>
      </c>
      <c r="K94" s="38">
        <f t="shared" si="7"/>
        <v>540.56999999999994</v>
      </c>
      <c r="L94" s="42">
        <f t="shared" ca="1" si="8"/>
        <v>46323.405950462962</v>
      </c>
    </row>
    <row r="95" spans="1:12" x14ac:dyDescent="0.3">
      <c r="A95" s="37" t="s">
        <v>84</v>
      </c>
      <c r="B95" s="37" t="s">
        <v>40</v>
      </c>
      <c r="C95" s="37" t="s">
        <v>28</v>
      </c>
      <c r="D95" s="37" t="s">
        <v>38</v>
      </c>
      <c r="E95" s="38">
        <v>1158.94</v>
      </c>
      <c r="F95" s="37">
        <v>19</v>
      </c>
      <c r="G95" s="40">
        <v>0.2</v>
      </c>
      <c r="H95" s="41">
        <v>45553</v>
      </c>
      <c r="I95" s="38">
        <v>231.79</v>
      </c>
      <c r="J95" s="38">
        <f t="shared" si="6"/>
        <v>1448.675</v>
      </c>
      <c r="K95" s="38">
        <f t="shared" si="7"/>
        <v>927.15000000000009</v>
      </c>
      <c r="L95" s="42">
        <f t="shared" ca="1" si="8"/>
        <v>46323.405950462962</v>
      </c>
    </row>
    <row r="96" spans="1:12" x14ac:dyDescent="0.3">
      <c r="A96" s="37" t="s">
        <v>92</v>
      </c>
      <c r="B96" s="37" t="s">
        <v>64</v>
      </c>
      <c r="C96" s="37" t="s">
        <v>37</v>
      </c>
      <c r="D96" s="37" t="s">
        <v>29</v>
      </c>
      <c r="E96" s="38">
        <v>966.3</v>
      </c>
      <c r="F96" s="37">
        <v>2</v>
      </c>
      <c r="G96" s="40">
        <v>0.15</v>
      </c>
      <c r="H96" s="41">
        <v>45557</v>
      </c>
      <c r="I96" s="38">
        <v>328.54</v>
      </c>
      <c r="J96" s="38">
        <f t="shared" si="6"/>
        <v>1136.8235294117646</v>
      </c>
      <c r="K96" s="38">
        <f t="shared" si="7"/>
        <v>637.76</v>
      </c>
      <c r="L96" s="42">
        <f t="shared" ca="1" si="8"/>
        <v>46323.405950462962</v>
      </c>
    </row>
    <row r="97" spans="1:12" x14ac:dyDescent="0.3">
      <c r="A97" s="37" t="s">
        <v>85</v>
      </c>
      <c r="B97" s="37" t="s">
        <v>34</v>
      </c>
      <c r="C97" s="37" t="s">
        <v>37</v>
      </c>
      <c r="D97" s="37" t="s">
        <v>29</v>
      </c>
      <c r="E97" s="38">
        <v>917.48</v>
      </c>
      <c r="F97" s="37">
        <v>6</v>
      </c>
      <c r="G97" s="40">
        <v>0</v>
      </c>
      <c r="H97" s="41">
        <v>45558</v>
      </c>
      <c r="I97" s="38">
        <v>366.99</v>
      </c>
      <c r="J97" s="38">
        <f t="shared" si="6"/>
        <v>917.48</v>
      </c>
      <c r="K97" s="38">
        <f t="shared" si="7"/>
        <v>550.49</v>
      </c>
      <c r="L97" s="42">
        <f t="shared" ca="1" si="8"/>
        <v>46323.405950462962</v>
      </c>
    </row>
    <row r="98" spans="1:12" x14ac:dyDescent="0.3">
      <c r="A98" s="37" t="s">
        <v>58</v>
      </c>
      <c r="B98" s="37" t="s">
        <v>78</v>
      </c>
      <c r="C98" s="37" t="s">
        <v>28</v>
      </c>
      <c r="D98" s="37" t="s">
        <v>44</v>
      </c>
      <c r="E98" s="38">
        <v>1172.97</v>
      </c>
      <c r="F98" s="37">
        <v>7</v>
      </c>
      <c r="G98" s="40">
        <v>0.15</v>
      </c>
      <c r="H98" s="41">
        <v>45559</v>
      </c>
      <c r="I98" s="38">
        <v>348.96</v>
      </c>
      <c r="J98" s="38">
        <f t="shared" ref="J98:J129" si="9">E98/(1-G98)</f>
        <v>1379.964705882353</v>
      </c>
      <c r="K98" s="38">
        <f t="shared" ref="K98:K129" si="10">E98-I98</f>
        <v>824.01</v>
      </c>
      <c r="L98" s="42">
        <f t="shared" ref="L98:L129" ca="1" si="11">NOW()</f>
        <v>46323.405950462962</v>
      </c>
    </row>
    <row r="99" spans="1:12" x14ac:dyDescent="0.3">
      <c r="A99" s="37" t="s">
        <v>74</v>
      </c>
      <c r="B99" s="37" t="s">
        <v>40</v>
      </c>
      <c r="C99" s="37" t="s">
        <v>41</v>
      </c>
      <c r="D99" s="37" t="s">
        <v>32</v>
      </c>
      <c r="E99" s="38">
        <v>1205.82</v>
      </c>
      <c r="F99" s="37">
        <v>11</v>
      </c>
      <c r="G99" s="40">
        <v>0.1</v>
      </c>
      <c r="H99" s="41">
        <v>45559</v>
      </c>
      <c r="I99" s="38">
        <v>542.62</v>
      </c>
      <c r="J99" s="38">
        <f t="shared" si="9"/>
        <v>1339.8</v>
      </c>
      <c r="K99" s="38">
        <f t="shared" si="10"/>
        <v>663.19999999999993</v>
      </c>
      <c r="L99" s="42">
        <f t="shared" ca="1" si="11"/>
        <v>46323.405950462962</v>
      </c>
    </row>
    <row r="100" spans="1:12" x14ac:dyDescent="0.3">
      <c r="A100" s="37" t="s">
        <v>33</v>
      </c>
      <c r="B100" s="37" t="s">
        <v>81</v>
      </c>
      <c r="C100" s="37" t="s">
        <v>28</v>
      </c>
      <c r="D100" s="37" t="s">
        <v>56</v>
      </c>
      <c r="E100" s="38">
        <v>826.93</v>
      </c>
      <c r="F100" s="37">
        <v>10</v>
      </c>
      <c r="G100" s="40">
        <v>0.2</v>
      </c>
      <c r="H100" s="41">
        <v>45564</v>
      </c>
      <c r="I100" s="38">
        <v>297.69</v>
      </c>
      <c r="J100" s="38">
        <f t="shared" si="9"/>
        <v>1033.6624999999999</v>
      </c>
      <c r="K100" s="38">
        <f t="shared" si="10"/>
        <v>529.24</v>
      </c>
      <c r="L100" s="42">
        <f t="shared" ca="1" si="11"/>
        <v>46323.405950462962</v>
      </c>
    </row>
    <row r="101" spans="1:12" x14ac:dyDescent="0.3">
      <c r="A101" s="37" t="s">
        <v>84</v>
      </c>
      <c r="B101" s="37" t="s">
        <v>40</v>
      </c>
      <c r="C101" s="37" t="s">
        <v>51</v>
      </c>
      <c r="D101" s="37" t="s">
        <v>32</v>
      </c>
      <c r="E101" s="38">
        <v>902.19</v>
      </c>
      <c r="F101" s="37">
        <v>12</v>
      </c>
      <c r="G101" s="40">
        <v>0</v>
      </c>
      <c r="H101" s="41">
        <v>45564</v>
      </c>
      <c r="I101" s="38">
        <v>451.1</v>
      </c>
      <c r="J101" s="38">
        <f t="shared" si="9"/>
        <v>902.19</v>
      </c>
      <c r="K101" s="38">
        <f t="shared" si="10"/>
        <v>451.09000000000003</v>
      </c>
      <c r="L101" s="42">
        <f t="shared" ca="1" si="11"/>
        <v>46323.405950462962</v>
      </c>
    </row>
    <row r="102" spans="1:12" x14ac:dyDescent="0.3">
      <c r="A102" s="37" t="s">
        <v>91</v>
      </c>
      <c r="B102" s="37" t="s">
        <v>55</v>
      </c>
      <c r="C102" s="37" t="s">
        <v>41</v>
      </c>
      <c r="D102" s="37" t="s">
        <v>29</v>
      </c>
      <c r="E102" s="38">
        <v>585.97</v>
      </c>
      <c r="F102" s="37">
        <v>17</v>
      </c>
      <c r="G102" s="40">
        <v>0.1</v>
      </c>
      <c r="H102" s="41">
        <v>45565</v>
      </c>
      <c r="I102" s="38">
        <v>210.95</v>
      </c>
      <c r="J102" s="38">
        <f t="shared" si="9"/>
        <v>651.07777777777778</v>
      </c>
      <c r="K102" s="38">
        <f t="shared" si="10"/>
        <v>375.02000000000004</v>
      </c>
      <c r="L102" s="42">
        <f t="shared" ca="1" si="11"/>
        <v>46323.405950462962</v>
      </c>
    </row>
    <row r="103" spans="1:12" x14ac:dyDescent="0.3">
      <c r="A103" s="37" t="s">
        <v>77</v>
      </c>
      <c r="B103" s="37" t="s">
        <v>43</v>
      </c>
      <c r="C103" s="37" t="s">
        <v>41</v>
      </c>
      <c r="D103" s="37" t="s">
        <v>32</v>
      </c>
      <c r="E103" s="38">
        <v>990.19</v>
      </c>
      <c r="F103" s="37">
        <v>8</v>
      </c>
      <c r="G103" s="40">
        <v>0.1</v>
      </c>
      <c r="H103" s="41">
        <v>45565</v>
      </c>
      <c r="I103" s="38">
        <v>445.59</v>
      </c>
      <c r="J103" s="38">
        <f t="shared" si="9"/>
        <v>1100.2111111111112</v>
      </c>
      <c r="K103" s="38">
        <f t="shared" si="10"/>
        <v>544.60000000000014</v>
      </c>
      <c r="L103" s="42">
        <f t="shared" ca="1" si="11"/>
        <v>46323.405950462962</v>
      </c>
    </row>
    <row r="104" spans="1:12" x14ac:dyDescent="0.3">
      <c r="A104" s="37" t="s">
        <v>61</v>
      </c>
      <c r="B104" s="37" t="s">
        <v>73</v>
      </c>
      <c r="C104" s="37" t="s">
        <v>51</v>
      </c>
      <c r="D104" s="37" t="s">
        <v>38</v>
      </c>
      <c r="E104" s="38">
        <v>1014.09</v>
      </c>
      <c r="F104" s="37">
        <v>13</v>
      </c>
      <c r="G104" s="40">
        <v>0.2</v>
      </c>
      <c r="H104" s="41">
        <v>45567</v>
      </c>
      <c r="I104" s="38">
        <v>202.82</v>
      </c>
      <c r="J104" s="38">
        <f t="shared" si="9"/>
        <v>1267.6125</v>
      </c>
      <c r="K104" s="38">
        <f t="shared" si="10"/>
        <v>811.27</v>
      </c>
      <c r="L104" s="42">
        <f t="shared" ca="1" si="11"/>
        <v>46323.405950462962</v>
      </c>
    </row>
    <row r="105" spans="1:12" x14ac:dyDescent="0.3">
      <c r="A105" s="37" t="s">
        <v>30</v>
      </c>
      <c r="B105" s="37" t="s">
        <v>65</v>
      </c>
      <c r="C105" s="37" t="s">
        <v>41</v>
      </c>
      <c r="D105" s="37" t="s">
        <v>38</v>
      </c>
      <c r="E105" s="38">
        <v>925.29</v>
      </c>
      <c r="F105" s="37">
        <v>17</v>
      </c>
      <c r="G105" s="40">
        <v>0</v>
      </c>
      <c r="H105" s="41">
        <v>45570</v>
      </c>
      <c r="I105" s="38">
        <v>231.32</v>
      </c>
      <c r="J105" s="38">
        <f t="shared" si="9"/>
        <v>925.29</v>
      </c>
      <c r="K105" s="38">
        <f t="shared" si="10"/>
        <v>693.97</v>
      </c>
      <c r="L105" s="42">
        <f t="shared" ca="1" si="11"/>
        <v>46323.405950462962</v>
      </c>
    </row>
    <row r="106" spans="1:12" x14ac:dyDescent="0.3">
      <c r="A106" s="37" t="s">
        <v>71</v>
      </c>
      <c r="B106" s="37" t="s">
        <v>64</v>
      </c>
      <c r="C106" s="37" t="s">
        <v>35</v>
      </c>
      <c r="D106" s="37" t="s">
        <v>44</v>
      </c>
      <c r="E106" s="38">
        <v>1286.54</v>
      </c>
      <c r="F106" s="37">
        <v>8</v>
      </c>
      <c r="G106" s="40">
        <v>0</v>
      </c>
      <c r="H106" s="41">
        <v>45575</v>
      </c>
      <c r="I106" s="38">
        <v>450.29</v>
      </c>
      <c r="J106" s="38">
        <f t="shared" si="9"/>
        <v>1286.54</v>
      </c>
      <c r="K106" s="38">
        <f t="shared" si="10"/>
        <v>836.25</v>
      </c>
      <c r="L106" s="42">
        <f t="shared" ca="1" si="11"/>
        <v>46323.405950462962</v>
      </c>
    </row>
    <row r="107" spans="1:12" x14ac:dyDescent="0.3">
      <c r="A107" s="37" t="s">
        <v>54</v>
      </c>
      <c r="B107" s="37" t="s">
        <v>81</v>
      </c>
      <c r="C107" s="37" t="s">
        <v>37</v>
      </c>
      <c r="D107" s="37" t="s">
        <v>29</v>
      </c>
      <c r="E107" s="38">
        <v>961.62</v>
      </c>
      <c r="F107" s="37">
        <v>8</v>
      </c>
      <c r="G107" s="40">
        <v>0.2</v>
      </c>
      <c r="H107" s="41">
        <v>45577</v>
      </c>
      <c r="I107" s="38">
        <v>307.72000000000003</v>
      </c>
      <c r="J107" s="38">
        <f t="shared" si="9"/>
        <v>1202.0249999999999</v>
      </c>
      <c r="K107" s="38">
        <f t="shared" si="10"/>
        <v>653.9</v>
      </c>
      <c r="L107" s="42">
        <f t="shared" ca="1" si="11"/>
        <v>46323.405950462962</v>
      </c>
    </row>
    <row r="108" spans="1:12" x14ac:dyDescent="0.3">
      <c r="A108" s="37" t="s">
        <v>61</v>
      </c>
      <c r="B108" s="37" t="s">
        <v>40</v>
      </c>
      <c r="C108" s="37" t="s">
        <v>35</v>
      </c>
      <c r="D108" s="37" t="s">
        <v>29</v>
      </c>
      <c r="E108" s="38">
        <v>1081.1400000000001</v>
      </c>
      <c r="F108" s="37">
        <v>19</v>
      </c>
      <c r="G108" s="40">
        <v>0.15</v>
      </c>
      <c r="H108" s="41">
        <v>45577</v>
      </c>
      <c r="I108" s="38">
        <v>367.59</v>
      </c>
      <c r="J108" s="38">
        <f t="shared" si="9"/>
        <v>1271.9294117647059</v>
      </c>
      <c r="K108" s="38">
        <f t="shared" si="10"/>
        <v>713.55000000000018</v>
      </c>
      <c r="L108" s="42">
        <f t="shared" ca="1" si="11"/>
        <v>46323.405950462962</v>
      </c>
    </row>
    <row r="109" spans="1:12" x14ac:dyDescent="0.3">
      <c r="A109" s="37" t="s">
        <v>75</v>
      </c>
      <c r="B109" s="37" t="s">
        <v>40</v>
      </c>
      <c r="C109" s="37" t="s">
        <v>28</v>
      </c>
      <c r="D109" s="37" t="s">
        <v>32</v>
      </c>
      <c r="E109" s="38">
        <v>1923.66</v>
      </c>
      <c r="F109" s="37">
        <v>9</v>
      </c>
      <c r="G109" s="40">
        <v>0.2</v>
      </c>
      <c r="H109" s="41">
        <v>45580</v>
      </c>
      <c r="I109" s="38">
        <v>769.46</v>
      </c>
      <c r="J109" s="38">
        <f t="shared" si="9"/>
        <v>2404.5749999999998</v>
      </c>
      <c r="K109" s="38">
        <f t="shared" si="10"/>
        <v>1154.2</v>
      </c>
      <c r="L109" s="42">
        <f t="shared" ca="1" si="11"/>
        <v>46323.405950462962</v>
      </c>
    </row>
    <row r="110" spans="1:12" x14ac:dyDescent="0.3">
      <c r="A110" s="37" t="s">
        <v>71</v>
      </c>
      <c r="B110" s="37" t="s">
        <v>83</v>
      </c>
      <c r="C110" s="37" t="s">
        <v>51</v>
      </c>
      <c r="D110" s="37" t="s">
        <v>32</v>
      </c>
      <c r="E110" s="38">
        <v>728.71</v>
      </c>
      <c r="F110" s="37">
        <v>14</v>
      </c>
      <c r="G110" s="40">
        <v>0.1</v>
      </c>
      <c r="H110" s="41">
        <v>45581</v>
      </c>
      <c r="I110" s="38">
        <v>327.92</v>
      </c>
      <c r="J110" s="38">
        <f t="shared" si="9"/>
        <v>809.67777777777781</v>
      </c>
      <c r="K110" s="38">
        <f t="shared" si="10"/>
        <v>400.79</v>
      </c>
      <c r="L110" s="42">
        <f t="shared" ca="1" si="11"/>
        <v>46323.405950462962</v>
      </c>
    </row>
    <row r="111" spans="1:12" x14ac:dyDescent="0.3">
      <c r="A111" s="37" t="s">
        <v>26</v>
      </c>
      <c r="B111" s="37" t="s">
        <v>50</v>
      </c>
      <c r="C111" s="37" t="s">
        <v>51</v>
      </c>
      <c r="D111" s="37" t="s">
        <v>32</v>
      </c>
      <c r="E111" s="38">
        <v>1301.8900000000001</v>
      </c>
      <c r="F111" s="37">
        <v>7</v>
      </c>
      <c r="G111" s="40">
        <v>0.15</v>
      </c>
      <c r="H111" s="41">
        <v>45581</v>
      </c>
      <c r="I111" s="38">
        <v>553.29999999999995</v>
      </c>
      <c r="J111" s="38">
        <f t="shared" si="9"/>
        <v>1531.6352941176472</v>
      </c>
      <c r="K111" s="38">
        <f t="shared" si="10"/>
        <v>748.59000000000015</v>
      </c>
      <c r="L111" s="42">
        <f t="shared" ca="1" si="11"/>
        <v>46323.405950462962</v>
      </c>
    </row>
    <row r="112" spans="1:12" x14ac:dyDescent="0.3">
      <c r="A112" s="37" t="s">
        <v>87</v>
      </c>
      <c r="B112" s="37" t="s">
        <v>83</v>
      </c>
      <c r="C112" s="37" t="s">
        <v>35</v>
      </c>
      <c r="D112" s="37" t="s">
        <v>29</v>
      </c>
      <c r="E112" s="38">
        <v>980.18</v>
      </c>
      <c r="F112" s="37">
        <v>16</v>
      </c>
      <c r="G112" s="40">
        <v>0.1</v>
      </c>
      <c r="H112" s="41">
        <v>45582</v>
      </c>
      <c r="I112" s="38">
        <v>352.86</v>
      </c>
      <c r="J112" s="38">
        <f t="shared" si="9"/>
        <v>1089.0888888888887</v>
      </c>
      <c r="K112" s="38">
        <f t="shared" si="10"/>
        <v>627.31999999999994</v>
      </c>
      <c r="L112" s="42">
        <f t="shared" ca="1" si="11"/>
        <v>46323.405950462962</v>
      </c>
    </row>
    <row r="113" spans="1:12" x14ac:dyDescent="0.3">
      <c r="A113" s="37" t="s">
        <v>91</v>
      </c>
      <c r="B113" s="37" t="s">
        <v>40</v>
      </c>
      <c r="C113" s="37" t="s">
        <v>28</v>
      </c>
      <c r="D113" s="37" t="s">
        <v>32</v>
      </c>
      <c r="E113" s="38">
        <v>697.57</v>
      </c>
      <c r="F113" s="37">
        <v>17</v>
      </c>
      <c r="G113" s="40">
        <v>0.1</v>
      </c>
      <c r="H113" s="41">
        <v>45584</v>
      </c>
      <c r="I113" s="38">
        <v>313.91000000000003</v>
      </c>
      <c r="J113" s="38">
        <f t="shared" si="9"/>
        <v>775.07777777777778</v>
      </c>
      <c r="K113" s="38">
        <f t="shared" si="10"/>
        <v>383.66</v>
      </c>
      <c r="L113" s="42">
        <f t="shared" ca="1" si="11"/>
        <v>46323.405950462962</v>
      </c>
    </row>
    <row r="114" spans="1:12" x14ac:dyDescent="0.3">
      <c r="A114" s="37" t="s">
        <v>63</v>
      </c>
      <c r="B114" s="37" t="s">
        <v>88</v>
      </c>
      <c r="C114" s="37" t="s">
        <v>28</v>
      </c>
      <c r="D114" s="37" t="s">
        <v>44</v>
      </c>
      <c r="E114" s="38">
        <v>1193.6099999999999</v>
      </c>
      <c r="F114" s="37">
        <v>1</v>
      </c>
      <c r="G114" s="40">
        <v>0.15</v>
      </c>
      <c r="H114" s="41">
        <v>45584</v>
      </c>
      <c r="I114" s="38">
        <v>355.1</v>
      </c>
      <c r="J114" s="38">
        <f t="shared" si="9"/>
        <v>1404.2470588235294</v>
      </c>
      <c r="K114" s="38">
        <f t="shared" si="10"/>
        <v>838.50999999999988</v>
      </c>
      <c r="L114" s="42">
        <f t="shared" ca="1" si="11"/>
        <v>46323.405950462962</v>
      </c>
    </row>
    <row r="115" spans="1:12" x14ac:dyDescent="0.3">
      <c r="A115" s="37" t="s">
        <v>49</v>
      </c>
      <c r="B115" s="37" t="s">
        <v>55</v>
      </c>
      <c r="C115" s="37" t="s">
        <v>37</v>
      </c>
      <c r="D115" s="37" t="s">
        <v>38</v>
      </c>
      <c r="E115" s="38">
        <v>771.02</v>
      </c>
      <c r="F115" s="37">
        <v>1</v>
      </c>
      <c r="G115" s="40">
        <v>0</v>
      </c>
      <c r="H115" s="41">
        <v>45585</v>
      </c>
      <c r="I115" s="38">
        <v>192.76</v>
      </c>
      <c r="J115" s="38">
        <f t="shared" si="9"/>
        <v>771.02</v>
      </c>
      <c r="K115" s="38">
        <f t="shared" si="10"/>
        <v>578.26</v>
      </c>
      <c r="L115" s="42">
        <f t="shared" ca="1" si="11"/>
        <v>46323.405950462962</v>
      </c>
    </row>
    <row r="116" spans="1:12" x14ac:dyDescent="0.3">
      <c r="A116" s="37" t="s">
        <v>84</v>
      </c>
      <c r="B116" s="37" t="s">
        <v>86</v>
      </c>
      <c r="C116" s="37" t="s">
        <v>41</v>
      </c>
      <c r="D116" s="37" t="s">
        <v>32</v>
      </c>
      <c r="E116" s="38">
        <v>661.09</v>
      </c>
      <c r="F116" s="37">
        <v>1</v>
      </c>
      <c r="G116" s="40">
        <v>0.2</v>
      </c>
      <c r="H116" s="41">
        <v>45593</v>
      </c>
      <c r="I116" s="38">
        <v>264.44</v>
      </c>
      <c r="J116" s="38">
        <f t="shared" si="9"/>
        <v>826.36249999999995</v>
      </c>
      <c r="K116" s="38">
        <f t="shared" si="10"/>
        <v>396.65000000000003</v>
      </c>
      <c r="L116" s="42">
        <f t="shared" ca="1" si="11"/>
        <v>46323.405950462962</v>
      </c>
    </row>
    <row r="117" spans="1:12" x14ac:dyDescent="0.3">
      <c r="A117" s="37" t="s">
        <v>30</v>
      </c>
      <c r="B117" s="37" t="s">
        <v>72</v>
      </c>
      <c r="C117" s="37" t="s">
        <v>28</v>
      </c>
      <c r="D117" s="37" t="s">
        <v>38</v>
      </c>
      <c r="E117" s="38">
        <v>688.83</v>
      </c>
      <c r="F117" s="37">
        <v>15</v>
      </c>
      <c r="G117" s="40">
        <v>0</v>
      </c>
      <c r="H117" s="41">
        <v>45595</v>
      </c>
      <c r="I117" s="38">
        <v>172.21</v>
      </c>
      <c r="J117" s="38">
        <f t="shared" si="9"/>
        <v>688.83</v>
      </c>
      <c r="K117" s="38">
        <f t="shared" si="10"/>
        <v>516.62</v>
      </c>
      <c r="L117" s="42">
        <f t="shared" ca="1" si="11"/>
        <v>46323.405950462962</v>
      </c>
    </row>
    <row r="118" spans="1:12" x14ac:dyDescent="0.3">
      <c r="A118" s="37" t="s">
        <v>90</v>
      </c>
      <c r="B118" s="37" t="s">
        <v>46</v>
      </c>
      <c r="C118" s="37" t="s">
        <v>51</v>
      </c>
      <c r="D118" s="37" t="s">
        <v>29</v>
      </c>
      <c r="E118" s="38">
        <v>1249.0999999999999</v>
      </c>
      <c r="F118" s="37">
        <v>4</v>
      </c>
      <c r="G118" s="40">
        <v>0.05</v>
      </c>
      <c r="H118" s="41">
        <v>45597</v>
      </c>
      <c r="I118" s="38">
        <v>474.66</v>
      </c>
      <c r="J118" s="38">
        <f t="shared" si="9"/>
        <v>1314.8421052631579</v>
      </c>
      <c r="K118" s="38">
        <f t="shared" si="10"/>
        <v>774.43999999999983</v>
      </c>
      <c r="L118" s="42">
        <f t="shared" ca="1" si="11"/>
        <v>46323.405950462962</v>
      </c>
    </row>
    <row r="119" spans="1:12" x14ac:dyDescent="0.3">
      <c r="A119" s="37" t="s">
        <v>61</v>
      </c>
      <c r="B119" s="37" t="s">
        <v>40</v>
      </c>
      <c r="C119" s="37" t="s">
        <v>35</v>
      </c>
      <c r="D119" s="37" t="s">
        <v>56</v>
      </c>
      <c r="E119" s="38">
        <v>1014.22</v>
      </c>
      <c r="F119" s="37">
        <v>14</v>
      </c>
      <c r="G119" s="40">
        <v>0.05</v>
      </c>
      <c r="H119" s="41">
        <v>45599</v>
      </c>
      <c r="I119" s="38">
        <v>433.58</v>
      </c>
      <c r="J119" s="38">
        <f t="shared" si="9"/>
        <v>1067.6000000000001</v>
      </c>
      <c r="K119" s="38">
        <f t="shared" si="10"/>
        <v>580.6400000000001</v>
      </c>
      <c r="L119" s="42">
        <f t="shared" ca="1" si="11"/>
        <v>46323.405950462962</v>
      </c>
    </row>
    <row r="120" spans="1:12" x14ac:dyDescent="0.3">
      <c r="A120" s="37" t="s">
        <v>71</v>
      </c>
      <c r="B120" s="37" t="s">
        <v>65</v>
      </c>
      <c r="C120" s="37" t="s">
        <v>35</v>
      </c>
      <c r="D120" s="37" t="s">
        <v>29</v>
      </c>
      <c r="E120" s="38">
        <v>1010.58</v>
      </c>
      <c r="F120" s="37">
        <v>2</v>
      </c>
      <c r="G120" s="40">
        <v>0.15</v>
      </c>
      <c r="H120" s="41">
        <v>45605</v>
      </c>
      <c r="I120" s="38">
        <v>343.6</v>
      </c>
      <c r="J120" s="38">
        <f t="shared" si="9"/>
        <v>1188.9176470588236</v>
      </c>
      <c r="K120" s="38">
        <f t="shared" si="10"/>
        <v>666.98</v>
      </c>
      <c r="L120" s="42">
        <f t="shared" ca="1" si="11"/>
        <v>46323.405950462962</v>
      </c>
    </row>
    <row r="121" spans="1:12" x14ac:dyDescent="0.3">
      <c r="A121" s="37" t="s">
        <v>47</v>
      </c>
      <c r="B121" s="37" t="s">
        <v>76</v>
      </c>
      <c r="C121" s="37" t="s">
        <v>41</v>
      </c>
      <c r="D121" s="37" t="s">
        <v>44</v>
      </c>
      <c r="E121" s="38">
        <v>957.29</v>
      </c>
      <c r="F121" s="37">
        <v>4</v>
      </c>
      <c r="G121" s="40">
        <v>0.05</v>
      </c>
      <c r="H121" s="41">
        <v>45605</v>
      </c>
      <c r="I121" s="38">
        <v>318.3</v>
      </c>
      <c r="J121" s="38">
        <f t="shared" si="9"/>
        <v>1007.6736842105263</v>
      </c>
      <c r="K121" s="38">
        <f t="shared" si="10"/>
        <v>638.99</v>
      </c>
      <c r="L121" s="42">
        <f t="shared" ca="1" si="11"/>
        <v>46323.405950462962</v>
      </c>
    </row>
    <row r="122" spans="1:12" x14ac:dyDescent="0.3">
      <c r="A122" s="37" t="s">
        <v>45</v>
      </c>
      <c r="B122" s="37" t="s">
        <v>62</v>
      </c>
      <c r="C122" s="37" t="s">
        <v>41</v>
      </c>
      <c r="D122" s="37" t="s">
        <v>44</v>
      </c>
      <c r="E122" s="38">
        <v>1077.92</v>
      </c>
      <c r="F122" s="37">
        <v>3</v>
      </c>
      <c r="G122" s="40">
        <v>0.05</v>
      </c>
      <c r="H122" s="41">
        <v>45608</v>
      </c>
      <c r="I122" s="38">
        <v>358.41</v>
      </c>
      <c r="J122" s="38">
        <f t="shared" si="9"/>
        <v>1134.6526315789474</v>
      </c>
      <c r="K122" s="38">
        <f t="shared" si="10"/>
        <v>719.51</v>
      </c>
      <c r="L122" s="42">
        <f t="shared" ca="1" si="11"/>
        <v>46323.405950462962</v>
      </c>
    </row>
    <row r="123" spans="1:12" x14ac:dyDescent="0.3">
      <c r="A123" s="37" t="s">
        <v>69</v>
      </c>
      <c r="B123" s="37" t="s">
        <v>67</v>
      </c>
      <c r="C123" s="37" t="s">
        <v>37</v>
      </c>
      <c r="D123" s="37" t="s">
        <v>32</v>
      </c>
      <c r="E123" s="38">
        <v>1163.01</v>
      </c>
      <c r="F123" s="37">
        <v>5</v>
      </c>
      <c r="G123" s="40">
        <v>0</v>
      </c>
      <c r="H123" s="41">
        <v>45611</v>
      </c>
      <c r="I123" s="38">
        <v>581.5</v>
      </c>
      <c r="J123" s="38">
        <f t="shared" si="9"/>
        <v>1163.01</v>
      </c>
      <c r="K123" s="38">
        <f t="shared" si="10"/>
        <v>581.51</v>
      </c>
      <c r="L123" s="42">
        <f t="shared" ca="1" si="11"/>
        <v>46323.405950462962</v>
      </c>
    </row>
    <row r="124" spans="1:12" x14ac:dyDescent="0.3">
      <c r="A124" s="37" t="s">
        <v>71</v>
      </c>
      <c r="B124" s="37" t="s">
        <v>62</v>
      </c>
      <c r="C124" s="37" t="s">
        <v>35</v>
      </c>
      <c r="D124" s="37" t="s">
        <v>56</v>
      </c>
      <c r="E124" s="38">
        <v>1014.56</v>
      </c>
      <c r="F124" s="37">
        <v>10</v>
      </c>
      <c r="G124" s="40">
        <v>0.1</v>
      </c>
      <c r="H124" s="41">
        <v>45612</v>
      </c>
      <c r="I124" s="38">
        <v>410.9</v>
      </c>
      <c r="J124" s="38">
        <f t="shared" si="9"/>
        <v>1127.2888888888888</v>
      </c>
      <c r="K124" s="38">
        <f t="shared" si="10"/>
        <v>603.66</v>
      </c>
      <c r="L124" s="42">
        <f t="shared" ca="1" si="11"/>
        <v>46323.405950462962</v>
      </c>
    </row>
    <row r="125" spans="1:12" x14ac:dyDescent="0.3">
      <c r="A125" s="37" t="s">
        <v>26</v>
      </c>
      <c r="B125" s="37" t="s">
        <v>34</v>
      </c>
      <c r="C125" s="37" t="s">
        <v>37</v>
      </c>
      <c r="D125" s="37" t="s">
        <v>38</v>
      </c>
      <c r="E125" s="38">
        <v>718.04</v>
      </c>
      <c r="F125" s="37">
        <v>14</v>
      </c>
      <c r="G125" s="40">
        <v>0</v>
      </c>
      <c r="H125" s="41">
        <v>45613</v>
      </c>
      <c r="I125" s="38">
        <v>179.51</v>
      </c>
      <c r="J125" s="38">
        <f t="shared" si="9"/>
        <v>718.04</v>
      </c>
      <c r="K125" s="38">
        <f t="shared" si="10"/>
        <v>538.53</v>
      </c>
      <c r="L125" s="42">
        <f t="shared" ca="1" si="11"/>
        <v>46323.405950462962</v>
      </c>
    </row>
    <row r="126" spans="1:12" x14ac:dyDescent="0.3">
      <c r="A126" s="37" t="s">
        <v>89</v>
      </c>
      <c r="B126" s="37" t="s">
        <v>34</v>
      </c>
      <c r="C126" s="37" t="s">
        <v>51</v>
      </c>
      <c r="D126" s="37" t="s">
        <v>32</v>
      </c>
      <c r="E126" s="38">
        <v>1277.8499999999999</v>
      </c>
      <c r="F126" s="37">
        <v>18</v>
      </c>
      <c r="G126" s="40">
        <v>0.2</v>
      </c>
      <c r="H126" s="41">
        <v>45613</v>
      </c>
      <c r="I126" s="38">
        <v>511.14</v>
      </c>
      <c r="J126" s="38">
        <f t="shared" si="9"/>
        <v>1597.3124999999998</v>
      </c>
      <c r="K126" s="38">
        <f t="shared" si="10"/>
        <v>766.70999999999992</v>
      </c>
      <c r="L126" s="42">
        <f t="shared" ca="1" si="11"/>
        <v>46323.405950462962</v>
      </c>
    </row>
    <row r="127" spans="1:12" x14ac:dyDescent="0.3">
      <c r="A127" s="37" t="s">
        <v>87</v>
      </c>
      <c r="B127" s="37" t="s">
        <v>40</v>
      </c>
      <c r="C127" s="37" t="s">
        <v>41</v>
      </c>
      <c r="D127" s="37" t="s">
        <v>38</v>
      </c>
      <c r="E127" s="38">
        <v>706.73</v>
      </c>
      <c r="F127" s="37">
        <v>1</v>
      </c>
      <c r="G127" s="40">
        <v>0.15</v>
      </c>
      <c r="H127" s="41">
        <v>45613</v>
      </c>
      <c r="I127" s="38">
        <v>150.18</v>
      </c>
      <c r="J127" s="38">
        <f t="shared" si="9"/>
        <v>831.44705882352946</v>
      </c>
      <c r="K127" s="38">
        <f t="shared" si="10"/>
        <v>556.54999999999995</v>
      </c>
      <c r="L127" s="42">
        <f t="shared" ca="1" si="11"/>
        <v>46323.405950462962</v>
      </c>
    </row>
    <row r="128" spans="1:12" x14ac:dyDescent="0.3">
      <c r="A128" s="37" t="s">
        <v>82</v>
      </c>
      <c r="B128" s="37" t="s">
        <v>67</v>
      </c>
      <c r="C128" s="37" t="s">
        <v>35</v>
      </c>
      <c r="D128" s="37" t="s">
        <v>38</v>
      </c>
      <c r="E128" s="38">
        <v>1410.59</v>
      </c>
      <c r="F128" s="37">
        <v>15</v>
      </c>
      <c r="G128" s="40">
        <v>0</v>
      </c>
      <c r="H128" s="41">
        <v>45615</v>
      </c>
      <c r="I128" s="38">
        <v>352.65</v>
      </c>
      <c r="J128" s="38">
        <f t="shared" si="9"/>
        <v>1410.59</v>
      </c>
      <c r="K128" s="38">
        <f t="shared" si="10"/>
        <v>1057.94</v>
      </c>
      <c r="L128" s="42">
        <f t="shared" ca="1" si="11"/>
        <v>46323.405950462962</v>
      </c>
    </row>
    <row r="129" spans="1:12" x14ac:dyDescent="0.3">
      <c r="A129" s="37" t="s">
        <v>49</v>
      </c>
      <c r="B129" s="37" t="s">
        <v>78</v>
      </c>
      <c r="C129" s="37" t="s">
        <v>37</v>
      </c>
      <c r="D129" s="37" t="s">
        <v>44</v>
      </c>
      <c r="E129" s="38">
        <v>1350.33</v>
      </c>
      <c r="F129" s="37">
        <v>10</v>
      </c>
      <c r="G129" s="40">
        <v>0</v>
      </c>
      <c r="H129" s="41">
        <v>45615</v>
      </c>
      <c r="I129" s="38">
        <v>472.62</v>
      </c>
      <c r="J129" s="38">
        <f t="shared" si="9"/>
        <v>1350.33</v>
      </c>
      <c r="K129" s="38">
        <f t="shared" si="10"/>
        <v>877.70999999999992</v>
      </c>
      <c r="L129" s="42">
        <f t="shared" ca="1" si="11"/>
        <v>46323.405950462962</v>
      </c>
    </row>
    <row r="130" spans="1:12" x14ac:dyDescent="0.3">
      <c r="A130" s="37" t="s">
        <v>58</v>
      </c>
      <c r="B130" s="37" t="s">
        <v>62</v>
      </c>
      <c r="C130" s="37" t="s">
        <v>35</v>
      </c>
      <c r="D130" s="37" t="s">
        <v>38</v>
      </c>
      <c r="E130" s="38">
        <v>919.18</v>
      </c>
      <c r="F130" s="37">
        <v>4</v>
      </c>
      <c r="G130" s="40">
        <v>0.15</v>
      </c>
      <c r="H130" s="41">
        <v>45615</v>
      </c>
      <c r="I130" s="38">
        <v>195.33</v>
      </c>
      <c r="J130" s="38">
        <f t="shared" ref="J130:J161" si="12">E130/(1-G130)</f>
        <v>1081.3882352941175</v>
      </c>
      <c r="K130" s="38">
        <f t="shared" ref="K130:K161" si="13">E130-I130</f>
        <v>723.84999999999991</v>
      </c>
      <c r="L130" s="42">
        <f t="shared" ref="L130:L161" ca="1" si="14">NOW()</f>
        <v>46323.405950462962</v>
      </c>
    </row>
    <row r="131" spans="1:12" x14ac:dyDescent="0.3">
      <c r="A131" s="37" t="s">
        <v>91</v>
      </c>
      <c r="B131" s="37" t="s">
        <v>40</v>
      </c>
      <c r="C131" s="37" t="s">
        <v>28</v>
      </c>
      <c r="D131" s="37" t="s">
        <v>38</v>
      </c>
      <c r="E131" s="38">
        <v>258.51</v>
      </c>
      <c r="F131" s="37">
        <v>19</v>
      </c>
      <c r="G131" s="40">
        <v>0</v>
      </c>
      <c r="H131" s="41">
        <v>45616</v>
      </c>
      <c r="I131" s="38">
        <v>64.63</v>
      </c>
      <c r="J131" s="38">
        <f t="shared" si="12"/>
        <v>258.51</v>
      </c>
      <c r="K131" s="38">
        <f t="shared" si="13"/>
        <v>193.88</v>
      </c>
      <c r="L131" s="42">
        <f t="shared" ca="1" si="14"/>
        <v>46323.405950462962</v>
      </c>
    </row>
    <row r="132" spans="1:12" x14ac:dyDescent="0.3">
      <c r="A132" s="37" t="s">
        <v>80</v>
      </c>
      <c r="B132" s="37" t="s">
        <v>78</v>
      </c>
      <c r="C132" s="37" t="s">
        <v>35</v>
      </c>
      <c r="D132" s="37" t="s">
        <v>29</v>
      </c>
      <c r="E132" s="38">
        <v>1213.48</v>
      </c>
      <c r="F132" s="37">
        <v>5</v>
      </c>
      <c r="G132" s="40">
        <v>0.05</v>
      </c>
      <c r="H132" s="41">
        <v>45616</v>
      </c>
      <c r="I132" s="38">
        <v>461.12</v>
      </c>
      <c r="J132" s="38">
        <f t="shared" si="12"/>
        <v>1277.3473684210528</v>
      </c>
      <c r="K132" s="38">
        <f t="shared" si="13"/>
        <v>752.36</v>
      </c>
      <c r="L132" s="42">
        <f t="shared" ca="1" si="14"/>
        <v>46323.405950462962</v>
      </c>
    </row>
    <row r="133" spans="1:12" x14ac:dyDescent="0.3">
      <c r="A133" s="37" t="s">
        <v>74</v>
      </c>
      <c r="B133" s="37" t="s">
        <v>55</v>
      </c>
      <c r="C133" s="37" t="s">
        <v>51</v>
      </c>
      <c r="D133" s="37" t="s">
        <v>29</v>
      </c>
      <c r="E133" s="38">
        <v>1150.28</v>
      </c>
      <c r="F133" s="37">
        <v>8</v>
      </c>
      <c r="G133" s="40">
        <v>0.05</v>
      </c>
      <c r="H133" s="41">
        <v>45622</v>
      </c>
      <c r="I133" s="38">
        <v>437.11</v>
      </c>
      <c r="J133" s="38">
        <f t="shared" si="12"/>
        <v>1210.8210526315791</v>
      </c>
      <c r="K133" s="38">
        <f t="shared" si="13"/>
        <v>713.17</v>
      </c>
      <c r="L133" s="42">
        <f t="shared" ca="1" si="14"/>
        <v>46323.405950462962</v>
      </c>
    </row>
    <row r="134" spans="1:12" x14ac:dyDescent="0.3">
      <c r="A134" s="37" t="s">
        <v>54</v>
      </c>
      <c r="B134" s="37" t="s">
        <v>88</v>
      </c>
      <c r="C134" s="37" t="s">
        <v>37</v>
      </c>
      <c r="D134" s="37" t="s">
        <v>44</v>
      </c>
      <c r="E134" s="38">
        <v>853.86</v>
      </c>
      <c r="F134" s="37">
        <v>8</v>
      </c>
      <c r="G134" s="40">
        <v>0.1</v>
      </c>
      <c r="H134" s="41">
        <v>45622</v>
      </c>
      <c r="I134" s="38">
        <v>268.97000000000003</v>
      </c>
      <c r="J134" s="38">
        <f t="shared" si="12"/>
        <v>948.73333333333335</v>
      </c>
      <c r="K134" s="38">
        <f t="shared" si="13"/>
        <v>584.89</v>
      </c>
      <c r="L134" s="42">
        <f t="shared" ca="1" si="14"/>
        <v>46323.405950462962</v>
      </c>
    </row>
    <row r="135" spans="1:12" x14ac:dyDescent="0.3">
      <c r="A135" s="37" t="s">
        <v>92</v>
      </c>
      <c r="B135" s="37" t="s">
        <v>62</v>
      </c>
      <c r="C135" s="37" t="s">
        <v>37</v>
      </c>
      <c r="D135" s="37" t="s">
        <v>38</v>
      </c>
      <c r="E135" s="38">
        <v>1061.04</v>
      </c>
      <c r="F135" s="37">
        <v>1</v>
      </c>
      <c r="G135" s="40">
        <v>0</v>
      </c>
      <c r="H135" s="41">
        <v>45624</v>
      </c>
      <c r="I135" s="38">
        <v>265.26</v>
      </c>
      <c r="J135" s="38">
        <f t="shared" si="12"/>
        <v>1061.04</v>
      </c>
      <c r="K135" s="38">
        <f t="shared" si="13"/>
        <v>795.78</v>
      </c>
      <c r="L135" s="42">
        <f t="shared" ca="1" si="14"/>
        <v>46323.405950462962</v>
      </c>
    </row>
    <row r="136" spans="1:12" x14ac:dyDescent="0.3">
      <c r="A136" s="37" t="s">
        <v>45</v>
      </c>
      <c r="B136" s="37" t="s">
        <v>60</v>
      </c>
      <c r="C136" s="37" t="s">
        <v>28</v>
      </c>
      <c r="D136" s="37" t="s">
        <v>38</v>
      </c>
      <c r="E136" s="38">
        <v>894.55</v>
      </c>
      <c r="F136" s="37">
        <v>19</v>
      </c>
      <c r="G136" s="40">
        <v>0.2</v>
      </c>
      <c r="H136" s="41">
        <v>45625</v>
      </c>
      <c r="I136" s="38">
        <v>178.91</v>
      </c>
      <c r="J136" s="38">
        <f t="shared" si="12"/>
        <v>1118.1874999999998</v>
      </c>
      <c r="K136" s="38">
        <f t="shared" si="13"/>
        <v>715.64</v>
      </c>
      <c r="L136" s="42">
        <f t="shared" ca="1" si="14"/>
        <v>46323.405950462962</v>
      </c>
    </row>
    <row r="137" spans="1:12" x14ac:dyDescent="0.3">
      <c r="A137" s="37" t="s">
        <v>42</v>
      </c>
      <c r="B137" s="37" t="s">
        <v>55</v>
      </c>
      <c r="C137" s="37" t="s">
        <v>41</v>
      </c>
      <c r="D137" s="37" t="s">
        <v>56</v>
      </c>
      <c r="E137" s="38">
        <v>833.91</v>
      </c>
      <c r="F137" s="37">
        <v>3</v>
      </c>
      <c r="G137" s="40">
        <v>0.05</v>
      </c>
      <c r="H137" s="41">
        <v>45626</v>
      </c>
      <c r="I137" s="38">
        <v>356.5</v>
      </c>
      <c r="J137" s="38">
        <f t="shared" si="12"/>
        <v>877.8</v>
      </c>
      <c r="K137" s="38">
        <f t="shared" si="13"/>
        <v>477.40999999999997</v>
      </c>
      <c r="L137" s="42">
        <f t="shared" ca="1" si="14"/>
        <v>46323.405950462962</v>
      </c>
    </row>
    <row r="138" spans="1:12" x14ac:dyDescent="0.3">
      <c r="A138" s="37" t="s">
        <v>75</v>
      </c>
      <c r="B138" s="37" t="s">
        <v>88</v>
      </c>
      <c r="C138" s="37" t="s">
        <v>28</v>
      </c>
      <c r="D138" s="37" t="s">
        <v>44</v>
      </c>
      <c r="E138" s="38">
        <v>820.19</v>
      </c>
      <c r="F138" s="37">
        <v>4</v>
      </c>
      <c r="G138" s="40">
        <v>0.2</v>
      </c>
      <c r="H138" s="41">
        <v>45630</v>
      </c>
      <c r="I138" s="38">
        <v>229.65</v>
      </c>
      <c r="J138" s="38">
        <f t="shared" si="12"/>
        <v>1025.2375</v>
      </c>
      <c r="K138" s="38">
        <f t="shared" si="13"/>
        <v>590.54000000000008</v>
      </c>
      <c r="L138" s="42">
        <f t="shared" ca="1" si="14"/>
        <v>46323.405950462962</v>
      </c>
    </row>
    <row r="139" spans="1:12" x14ac:dyDescent="0.3">
      <c r="A139" s="37" t="s">
        <v>75</v>
      </c>
      <c r="B139" s="37" t="s">
        <v>55</v>
      </c>
      <c r="C139" s="37" t="s">
        <v>51</v>
      </c>
      <c r="D139" s="37" t="s">
        <v>38</v>
      </c>
      <c r="E139" s="38">
        <v>511.74</v>
      </c>
      <c r="F139" s="37">
        <v>8</v>
      </c>
      <c r="G139" s="40">
        <v>0.05</v>
      </c>
      <c r="H139" s="41">
        <v>45631</v>
      </c>
      <c r="I139" s="38">
        <v>121.54</v>
      </c>
      <c r="J139" s="38">
        <f t="shared" si="12"/>
        <v>538.6736842105264</v>
      </c>
      <c r="K139" s="38">
        <f t="shared" si="13"/>
        <v>390.2</v>
      </c>
      <c r="L139" s="42">
        <f t="shared" ca="1" si="14"/>
        <v>46323.405950462962</v>
      </c>
    </row>
    <row r="140" spans="1:12" x14ac:dyDescent="0.3">
      <c r="A140" s="37" t="s">
        <v>82</v>
      </c>
      <c r="B140" s="37" t="s">
        <v>78</v>
      </c>
      <c r="C140" s="37" t="s">
        <v>37</v>
      </c>
      <c r="D140" s="37" t="s">
        <v>44</v>
      </c>
      <c r="E140" s="38">
        <v>806.03</v>
      </c>
      <c r="F140" s="37">
        <v>19</v>
      </c>
      <c r="G140" s="40">
        <v>0.05</v>
      </c>
      <c r="H140" s="41">
        <v>45638</v>
      </c>
      <c r="I140" s="38">
        <v>268</v>
      </c>
      <c r="J140" s="38">
        <f t="shared" si="12"/>
        <v>848.45263157894738</v>
      </c>
      <c r="K140" s="38">
        <f t="shared" si="13"/>
        <v>538.03</v>
      </c>
      <c r="L140" s="42">
        <f t="shared" ca="1" si="14"/>
        <v>46323.405950462962</v>
      </c>
    </row>
    <row r="141" spans="1:12" x14ac:dyDescent="0.3">
      <c r="A141" s="37" t="s">
        <v>45</v>
      </c>
      <c r="B141" s="37" t="s">
        <v>43</v>
      </c>
      <c r="C141" s="37" t="s">
        <v>51</v>
      </c>
      <c r="D141" s="37" t="s">
        <v>44</v>
      </c>
      <c r="E141" s="38">
        <v>1432.47</v>
      </c>
      <c r="F141" s="37">
        <v>16</v>
      </c>
      <c r="G141" s="40">
        <v>0.15</v>
      </c>
      <c r="H141" s="41">
        <v>45640</v>
      </c>
      <c r="I141" s="38">
        <v>426.16</v>
      </c>
      <c r="J141" s="38">
        <f t="shared" si="12"/>
        <v>1685.2588235294118</v>
      </c>
      <c r="K141" s="38">
        <f t="shared" si="13"/>
        <v>1006.31</v>
      </c>
      <c r="L141" s="42">
        <f t="shared" ca="1" si="14"/>
        <v>46323.405950462962</v>
      </c>
    </row>
    <row r="142" spans="1:12" x14ac:dyDescent="0.3">
      <c r="A142" s="37" t="s">
        <v>91</v>
      </c>
      <c r="B142" s="37" t="s">
        <v>46</v>
      </c>
      <c r="C142" s="37" t="s">
        <v>51</v>
      </c>
      <c r="D142" s="37" t="s">
        <v>38</v>
      </c>
      <c r="E142" s="38">
        <v>1488.58</v>
      </c>
      <c r="F142" s="37">
        <v>10</v>
      </c>
      <c r="G142" s="40">
        <v>0.15</v>
      </c>
      <c r="H142" s="41">
        <v>45640</v>
      </c>
      <c r="I142" s="38">
        <v>316.32</v>
      </c>
      <c r="J142" s="38">
        <f t="shared" si="12"/>
        <v>1751.2705882352941</v>
      </c>
      <c r="K142" s="38">
        <f t="shared" si="13"/>
        <v>1172.26</v>
      </c>
      <c r="L142" s="42">
        <f t="shared" ca="1" si="14"/>
        <v>46323.405950462962</v>
      </c>
    </row>
    <row r="143" spans="1:12" x14ac:dyDescent="0.3">
      <c r="A143" s="37" t="s">
        <v>47</v>
      </c>
      <c r="B143" s="37" t="s">
        <v>83</v>
      </c>
      <c r="C143" s="37" t="s">
        <v>35</v>
      </c>
      <c r="D143" s="37" t="s">
        <v>29</v>
      </c>
      <c r="E143" s="38">
        <v>1231.26</v>
      </c>
      <c r="F143" s="37">
        <v>9</v>
      </c>
      <c r="G143" s="40">
        <v>0</v>
      </c>
      <c r="H143" s="41">
        <v>45646</v>
      </c>
      <c r="I143" s="38">
        <v>492.5</v>
      </c>
      <c r="J143" s="38">
        <f t="shared" si="12"/>
        <v>1231.26</v>
      </c>
      <c r="K143" s="38">
        <f t="shared" si="13"/>
        <v>738.76</v>
      </c>
      <c r="L143" s="42">
        <f t="shared" ca="1" si="14"/>
        <v>46323.405950462962</v>
      </c>
    </row>
    <row r="144" spans="1:12" x14ac:dyDescent="0.3">
      <c r="A144" s="37" t="s">
        <v>47</v>
      </c>
      <c r="B144" s="37" t="s">
        <v>60</v>
      </c>
      <c r="C144" s="37" t="s">
        <v>28</v>
      </c>
      <c r="D144" s="37" t="s">
        <v>38</v>
      </c>
      <c r="E144" s="38">
        <v>1161.67</v>
      </c>
      <c r="F144" s="37">
        <v>19</v>
      </c>
      <c r="G144" s="40">
        <v>0.2</v>
      </c>
      <c r="H144" s="41">
        <v>45647</v>
      </c>
      <c r="I144" s="38">
        <v>232.33</v>
      </c>
      <c r="J144" s="38">
        <f t="shared" si="12"/>
        <v>1452.0875000000001</v>
      </c>
      <c r="K144" s="38">
        <f t="shared" si="13"/>
        <v>929.34</v>
      </c>
      <c r="L144" s="42">
        <f t="shared" ca="1" si="14"/>
        <v>46323.405950462962</v>
      </c>
    </row>
    <row r="145" spans="1:12" x14ac:dyDescent="0.3">
      <c r="A145" s="37" t="s">
        <v>66</v>
      </c>
      <c r="B145" s="37" t="s">
        <v>62</v>
      </c>
      <c r="C145" s="37" t="s">
        <v>51</v>
      </c>
      <c r="D145" s="37" t="s">
        <v>56</v>
      </c>
      <c r="E145" s="38">
        <v>388.23</v>
      </c>
      <c r="F145" s="37">
        <v>16</v>
      </c>
      <c r="G145" s="40">
        <v>0.05</v>
      </c>
      <c r="H145" s="41">
        <v>45650</v>
      </c>
      <c r="I145" s="38">
        <v>165.97</v>
      </c>
      <c r="J145" s="38">
        <f t="shared" si="12"/>
        <v>408.66315789473686</v>
      </c>
      <c r="K145" s="38">
        <f t="shared" si="13"/>
        <v>222.26000000000002</v>
      </c>
      <c r="L145" s="42">
        <f t="shared" ca="1" si="14"/>
        <v>46323.405950462962</v>
      </c>
    </row>
    <row r="146" spans="1:12" x14ac:dyDescent="0.3">
      <c r="A146" s="37" t="s">
        <v>89</v>
      </c>
      <c r="B146" s="37" t="s">
        <v>48</v>
      </c>
      <c r="C146" s="37" t="s">
        <v>41</v>
      </c>
      <c r="D146" s="37" t="s">
        <v>32</v>
      </c>
      <c r="E146" s="38">
        <v>1589.42</v>
      </c>
      <c r="F146" s="37">
        <v>6</v>
      </c>
      <c r="G146" s="40">
        <v>0.15</v>
      </c>
      <c r="H146" s="41">
        <v>45651</v>
      </c>
      <c r="I146" s="38">
        <v>675.5</v>
      </c>
      <c r="J146" s="38">
        <f t="shared" si="12"/>
        <v>1869.9058823529413</v>
      </c>
      <c r="K146" s="38">
        <f t="shared" si="13"/>
        <v>913.92000000000007</v>
      </c>
      <c r="L146" s="42">
        <f t="shared" ca="1" si="14"/>
        <v>46323.405950462962</v>
      </c>
    </row>
    <row r="147" spans="1:12" x14ac:dyDescent="0.3">
      <c r="A147" s="37" t="s">
        <v>45</v>
      </c>
      <c r="B147" s="37" t="s">
        <v>88</v>
      </c>
      <c r="C147" s="37" t="s">
        <v>41</v>
      </c>
      <c r="D147" s="37" t="s">
        <v>32</v>
      </c>
      <c r="E147" s="38">
        <v>336.66</v>
      </c>
      <c r="F147" s="37">
        <v>13</v>
      </c>
      <c r="G147" s="40">
        <v>0.2</v>
      </c>
      <c r="H147" s="41">
        <v>45651</v>
      </c>
      <c r="I147" s="38">
        <v>134.66</v>
      </c>
      <c r="J147" s="38">
        <f t="shared" si="12"/>
        <v>420.82499999999999</v>
      </c>
      <c r="K147" s="38">
        <f t="shared" si="13"/>
        <v>202.00000000000003</v>
      </c>
      <c r="L147" s="42">
        <f t="shared" ca="1" si="14"/>
        <v>46323.405950462962</v>
      </c>
    </row>
    <row r="148" spans="1:12" x14ac:dyDescent="0.3">
      <c r="A148" s="37" t="s">
        <v>66</v>
      </c>
      <c r="B148" s="37" t="s">
        <v>40</v>
      </c>
      <c r="C148" s="37" t="s">
        <v>28</v>
      </c>
      <c r="D148" s="37" t="s">
        <v>29</v>
      </c>
      <c r="E148" s="38">
        <v>1353.79</v>
      </c>
      <c r="F148" s="37">
        <v>14</v>
      </c>
      <c r="G148" s="40">
        <v>0.1</v>
      </c>
      <c r="H148" s="41">
        <v>45656</v>
      </c>
      <c r="I148" s="38">
        <v>487.36</v>
      </c>
      <c r="J148" s="38">
        <f t="shared" si="12"/>
        <v>1504.211111111111</v>
      </c>
      <c r="K148" s="38">
        <f t="shared" si="13"/>
        <v>866.43</v>
      </c>
      <c r="L148" s="42">
        <f t="shared" ca="1" si="14"/>
        <v>46323.405950462962</v>
      </c>
    </row>
    <row r="149" spans="1:12" x14ac:dyDescent="0.3">
      <c r="A149" s="37" t="s">
        <v>80</v>
      </c>
      <c r="B149" s="37" t="s">
        <v>86</v>
      </c>
      <c r="C149" s="37" t="s">
        <v>51</v>
      </c>
      <c r="D149" s="37" t="s">
        <v>32</v>
      </c>
      <c r="E149" s="38">
        <v>662.61</v>
      </c>
      <c r="F149" s="37">
        <v>11</v>
      </c>
      <c r="G149" s="40">
        <v>0.05</v>
      </c>
      <c r="H149" s="41">
        <v>45658</v>
      </c>
      <c r="I149" s="38">
        <v>314.74</v>
      </c>
      <c r="J149" s="38">
        <f t="shared" si="12"/>
        <v>697.48421052631579</v>
      </c>
      <c r="K149" s="38">
        <f t="shared" si="13"/>
        <v>347.87</v>
      </c>
      <c r="L149" s="42">
        <f t="shared" ca="1" si="14"/>
        <v>46323.405950462962</v>
      </c>
    </row>
    <row r="150" spans="1:12" x14ac:dyDescent="0.3">
      <c r="A150" s="37" t="s">
        <v>69</v>
      </c>
      <c r="B150" s="37" t="s">
        <v>65</v>
      </c>
      <c r="C150" s="37" t="s">
        <v>41</v>
      </c>
      <c r="D150" s="37" t="s">
        <v>56</v>
      </c>
      <c r="E150" s="38">
        <v>309.42</v>
      </c>
      <c r="F150" s="37">
        <v>1</v>
      </c>
      <c r="G150" s="40">
        <v>0.2</v>
      </c>
      <c r="H150" s="41">
        <v>45658</v>
      </c>
      <c r="I150" s="38">
        <v>111.39</v>
      </c>
      <c r="J150" s="38">
        <f t="shared" si="12"/>
        <v>386.77499999999998</v>
      </c>
      <c r="K150" s="38">
        <f t="shared" si="13"/>
        <v>198.03000000000003</v>
      </c>
      <c r="L150" s="42">
        <f t="shared" ca="1" si="14"/>
        <v>46323.405950462962</v>
      </c>
    </row>
    <row r="151" spans="1:12" x14ac:dyDescent="0.3">
      <c r="A151" s="37" t="s">
        <v>80</v>
      </c>
      <c r="B151" s="37" t="s">
        <v>46</v>
      </c>
      <c r="C151" s="37" t="s">
        <v>41</v>
      </c>
      <c r="D151" s="37" t="s">
        <v>29</v>
      </c>
      <c r="E151" s="38">
        <v>884.63</v>
      </c>
      <c r="F151" s="37">
        <v>18</v>
      </c>
      <c r="G151" s="40">
        <v>0.1</v>
      </c>
      <c r="H151" s="41">
        <v>45659</v>
      </c>
      <c r="I151" s="38">
        <v>318.47000000000003</v>
      </c>
      <c r="J151" s="38">
        <f t="shared" si="12"/>
        <v>982.92222222222222</v>
      </c>
      <c r="K151" s="38">
        <f t="shared" si="13"/>
        <v>566.16</v>
      </c>
      <c r="L151" s="42">
        <f t="shared" ca="1" si="14"/>
        <v>46323.405950462962</v>
      </c>
    </row>
    <row r="152" spans="1:12" x14ac:dyDescent="0.3">
      <c r="A152" s="37" t="s">
        <v>69</v>
      </c>
      <c r="B152" s="37" t="s">
        <v>40</v>
      </c>
      <c r="C152" s="37" t="s">
        <v>51</v>
      </c>
      <c r="D152" s="37" t="s">
        <v>56</v>
      </c>
      <c r="E152" s="38">
        <v>745.05</v>
      </c>
      <c r="F152" s="37">
        <v>10</v>
      </c>
      <c r="G152" s="40">
        <v>0.1</v>
      </c>
      <c r="H152" s="41">
        <v>45660</v>
      </c>
      <c r="I152" s="38">
        <v>301.75</v>
      </c>
      <c r="J152" s="38">
        <f t="shared" si="12"/>
        <v>827.83333333333326</v>
      </c>
      <c r="K152" s="38">
        <f t="shared" si="13"/>
        <v>443.29999999999995</v>
      </c>
      <c r="L152" s="42">
        <f t="shared" ca="1" si="14"/>
        <v>46323.405950462962</v>
      </c>
    </row>
    <row r="153" spans="1:12" x14ac:dyDescent="0.3">
      <c r="A153" s="37" t="s">
        <v>77</v>
      </c>
      <c r="B153" s="37" t="s">
        <v>34</v>
      </c>
      <c r="C153" s="37" t="s">
        <v>37</v>
      </c>
      <c r="D153" s="37" t="s">
        <v>32</v>
      </c>
      <c r="E153" s="38">
        <v>870.23</v>
      </c>
      <c r="F153" s="37">
        <v>5</v>
      </c>
      <c r="G153" s="40">
        <v>0.05</v>
      </c>
      <c r="H153" s="41">
        <v>45660</v>
      </c>
      <c r="I153" s="38">
        <v>413.36</v>
      </c>
      <c r="J153" s="38">
        <f t="shared" si="12"/>
        <v>916.03157894736853</v>
      </c>
      <c r="K153" s="38">
        <f t="shared" si="13"/>
        <v>456.87</v>
      </c>
      <c r="L153" s="42">
        <f t="shared" ca="1" si="14"/>
        <v>46323.405950462962</v>
      </c>
    </row>
    <row r="154" spans="1:12" x14ac:dyDescent="0.3">
      <c r="A154" s="37" t="s">
        <v>52</v>
      </c>
      <c r="B154" s="37" t="s">
        <v>46</v>
      </c>
      <c r="C154" s="37" t="s">
        <v>28</v>
      </c>
      <c r="D154" s="37" t="s">
        <v>44</v>
      </c>
      <c r="E154" s="38">
        <v>862.19</v>
      </c>
      <c r="F154" s="37">
        <v>18</v>
      </c>
      <c r="G154" s="40">
        <v>0.05</v>
      </c>
      <c r="H154" s="41">
        <v>45663</v>
      </c>
      <c r="I154" s="38">
        <v>286.68</v>
      </c>
      <c r="J154" s="38">
        <f t="shared" si="12"/>
        <v>907.56842105263172</v>
      </c>
      <c r="K154" s="38">
        <f t="shared" si="13"/>
        <v>575.51</v>
      </c>
      <c r="L154" s="42">
        <f t="shared" ca="1" si="14"/>
        <v>46323.405950462962</v>
      </c>
    </row>
    <row r="155" spans="1:12" x14ac:dyDescent="0.3">
      <c r="A155" s="37" t="s">
        <v>90</v>
      </c>
      <c r="B155" s="37" t="s">
        <v>76</v>
      </c>
      <c r="C155" s="37" t="s">
        <v>41</v>
      </c>
      <c r="D155" s="37" t="s">
        <v>32</v>
      </c>
      <c r="E155" s="38">
        <v>1171.18</v>
      </c>
      <c r="F155" s="37">
        <v>19</v>
      </c>
      <c r="G155" s="40">
        <v>0.05</v>
      </c>
      <c r="H155" s="41">
        <v>45667</v>
      </c>
      <c r="I155" s="38">
        <v>556.30999999999995</v>
      </c>
      <c r="J155" s="38">
        <f t="shared" si="12"/>
        <v>1232.8210526315791</v>
      </c>
      <c r="K155" s="38">
        <f t="shared" si="13"/>
        <v>614.87000000000012</v>
      </c>
      <c r="L155" s="42">
        <f t="shared" ca="1" si="14"/>
        <v>46323.405950462962</v>
      </c>
    </row>
    <row r="156" spans="1:12" x14ac:dyDescent="0.3">
      <c r="A156" s="37" t="s">
        <v>75</v>
      </c>
      <c r="B156" s="37" t="s">
        <v>31</v>
      </c>
      <c r="C156" s="37" t="s">
        <v>37</v>
      </c>
      <c r="D156" s="37" t="s">
        <v>44</v>
      </c>
      <c r="E156" s="38">
        <v>1054.56</v>
      </c>
      <c r="F156" s="37">
        <v>11</v>
      </c>
      <c r="G156" s="40">
        <v>0.1</v>
      </c>
      <c r="H156" s="41">
        <v>45669</v>
      </c>
      <c r="I156" s="38">
        <v>332.19</v>
      </c>
      <c r="J156" s="38">
        <f t="shared" si="12"/>
        <v>1171.7333333333333</v>
      </c>
      <c r="K156" s="38">
        <f t="shared" si="13"/>
        <v>722.36999999999989</v>
      </c>
      <c r="L156" s="42">
        <f t="shared" ca="1" si="14"/>
        <v>46323.405950462962</v>
      </c>
    </row>
    <row r="157" spans="1:12" x14ac:dyDescent="0.3">
      <c r="A157" s="37" t="s">
        <v>75</v>
      </c>
      <c r="B157" s="37" t="s">
        <v>40</v>
      </c>
      <c r="C157" s="37" t="s">
        <v>41</v>
      </c>
      <c r="D157" s="37" t="s">
        <v>38</v>
      </c>
      <c r="E157" s="38">
        <v>1681.21</v>
      </c>
      <c r="F157" s="37">
        <v>5</v>
      </c>
      <c r="G157" s="40">
        <v>0.2</v>
      </c>
      <c r="H157" s="41">
        <v>45670</v>
      </c>
      <c r="I157" s="38">
        <v>336.24</v>
      </c>
      <c r="J157" s="38">
        <f t="shared" si="12"/>
        <v>2101.5124999999998</v>
      </c>
      <c r="K157" s="38">
        <f t="shared" si="13"/>
        <v>1344.97</v>
      </c>
      <c r="L157" s="42">
        <f t="shared" ca="1" si="14"/>
        <v>46323.405950462962</v>
      </c>
    </row>
    <row r="158" spans="1:12" x14ac:dyDescent="0.3">
      <c r="A158" s="37" t="s">
        <v>75</v>
      </c>
      <c r="B158" s="37" t="s">
        <v>53</v>
      </c>
      <c r="C158" s="37" t="s">
        <v>28</v>
      </c>
      <c r="D158" s="37" t="s">
        <v>32</v>
      </c>
      <c r="E158" s="38">
        <v>379.77</v>
      </c>
      <c r="F158" s="37">
        <v>9</v>
      </c>
      <c r="G158" s="40">
        <v>0.05</v>
      </c>
      <c r="H158" s="41">
        <v>45673</v>
      </c>
      <c r="I158" s="38">
        <v>180.39</v>
      </c>
      <c r="J158" s="38">
        <f t="shared" si="12"/>
        <v>399.7578947368421</v>
      </c>
      <c r="K158" s="38">
        <f t="shared" si="13"/>
        <v>199.38</v>
      </c>
      <c r="L158" s="42">
        <f t="shared" ca="1" si="14"/>
        <v>46323.405950462962</v>
      </c>
    </row>
    <row r="159" spans="1:12" x14ac:dyDescent="0.3">
      <c r="A159" s="37" t="s">
        <v>61</v>
      </c>
      <c r="B159" s="37" t="s">
        <v>62</v>
      </c>
      <c r="C159" s="37" t="s">
        <v>51</v>
      </c>
      <c r="D159" s="37" t="s">
        <v>32</v>
      </c>
      <c r="E159" s="38">
        <v>1076.33</v>
      </c>
      <c r="F159" s="37">
        <v>2</v>
      </c>
      <c r="G159" s="40">
        <v>0.1</v>
      </c>
      <c r="H159" s="41">
        <v>45674</v>
      </c>
      <c r="I159" s="38">
        <v>484.35</v>
      </c>
      <c r="J159" s="38">
        <f t="shared" si="12"/>
        <v>1195.9222222222222</v>
      </c>
      <c r="K159" s="38">
        <f t="shared" si="13"/>
        <v>591.9799999999999</v>
      </c>
      <c r="L159" s="42">
        <f t="shared" ca="1" si="14"/>
        <v>46323.405950462962</v>
      </c>
    </row>
    <row r="160" spans="1:12" x14ac:dyDescent="0.3">
      <c r="A160" s="37" t="s">
        <v>61</v>
      </c>
      <c r="B160" s="37" t="s">
        <v>48</v>
      </c>
      <c r="C160" s="37" t="s">
        <v>51</v>
      </c>
      <c r="D160" s="37" t="s">
        <v>56</v>
      </c>
      <c r="E160" s="38">
        <v>1250.71</v>
      </c>
      <c r="F160" s="37">
        <v>7</v>
      </c>
      <c r="G160" s="40">
        <v>0</v>
      </c>
      <c r="H160" s="41">
        <v>45674</v>
      </c>
      <c r="I160" s="38">
        <v>562.82000000000005</v>
      </c>
      <c r="J160" s="38">
        <f t="shared" si="12"/>
        <v>1250.71</v>
      </c>
      <c r="K160" s="38">
        <f t="shared" si="13"/>
        <v>687.89</v>
      </c>
      <c r="L160" s="42">
        <f t="shared" ca="1" si="14"/>
        <v>46323.405950462962</v>
      </c>
    </row>
    <row r="161" spans="1:12" x14ac:dyDescent="0.3">
      <c r="A161" s="37" t="s">
        <v>57</v>
      </c>
      <c r="B161" s="37" t="s">
        <v>34</v>
      </c>
      <c r="C161" s="37" t="s">
        <v>37</v>
      </c>
      <c r="D161" s="37" t="s">
        <v>32</v>
      </c>
      <c r="E161" s="38">
        <v>1118.3399999999999</v>
      </c>
      <c r="F161" s="37">
        <v>6</v>
      </c>
      <c r="G161" s="40">
        <v>0.2</v>
      </c>
      <c r="H161" s="41">
        <v>45674</v>
      </c>
      <c r="I161" s="38">
        <v>447.34</v>
      </c>
      <c r="J161" s="38">
        <f t="shared" si="12"/>
        <v>1397.9249999999997</v>
      </c>
      <c r="K161" s="38">
        <f t="shared" si="13"/>
        <v>671</v>
      </c>
      <c r="L161" s="42">
        <f t="shared" ca="1" si="14"/>
        <v>46323.405950462962</v>
      </c>
    </row>
    <row r="162" spans="1:12" x14ac:dyDescent="0.3">
      <c r="A162" s="37" t="s">
        <v>87</v>
      </c>
      <c r="B162" s="37" t="s">
        <v>70</v>
      </c>
      <c r="C162" s="37" t="s">
        <v>41</v>
      </c>
      <c r="D162" s="37" t="s">
        <v>32</v>
      </c>
      <c r="E162" s="38">
        <v>1622.62</v>
      </c>
      <c r="F162" s="37">
        <v>12</v>
      </c>
      <c r="G162" s="40">
        <v>0.2</v>
      </c>
      <c r="H162" s="41">
        <v>45677</v>
      </c>
      <c r="I162" s="38">
        <v>649.04999999999995</v>
      </c>
      <c r="J162" s="38">
        <f t="shared" ref="J162:J193" si="15">E162/(1-G162)</f>
        <v>2028.2749999999999</v>
      </c>
      <c r="K162" s="38">
        <f t="shared" ref="K162:K193" si="16">E162-I162</f>
        <v>973.56999999999994</v>
      </c>
      <c r="L162" s="42">
        <f t="shared" ref="L162:L193" ca="1" si="17">NOW()</f>
        <v>46323.405950462962</v>
      </c>
    </row>
    <row r="163" spans="1:12" x14ac:dyDescent="0.3">
      <c r="A163" s="37" t="s">
        <v>92</v>
      </c>
      <c r="B163" s="37" t="s">
        <v>65</v>
      </c>
      <c r="C163" s="37" t="s">
        <v>41</v>
      </c>
      <c r="D163" s="37" t="s">
        <v>29</v>
      </c>
      <c r="E163" s="38">
        <v>640.64</v>
      </c>
      <c r="F163" s="37">
        <v>11</v>
      </c>
      <c r="G163" s="40">
        <v>0.2</v>
      </c>
      <c r="H163" s="41">
        <v>45678</v>
      </c>
      <c r="I163" s="38">
        <v>205</v>
      </c>
      <c r="J163" s="38">
        <f t="shared" si="15"/>
        <v>800.8</v>
      </c>
      <c r="K163" s="38">
        <f t="shared" si="16"/>
        <v>435.64</v>
      </c>
      <c r="L163" s="42">
        <f t="shared" ca="1" si="17"/>
        <v>46323.405950462962</v>
      </c>
    </row>
    <row r="164" spans="1:12" x14ac:dyDescent="0.3">
      <c r="A164" s="37" t="s">
        <v>39</v>
      </c>
      <c r="B164" s="37" t="s">
        <v>60</v>
      </c>
      <c r="C164" s="37" t="s">
        <v>28</v>
      </c>
      <c r="D164" s="37" t="s">
        <v>32</v>
      </c>
      <c r="E164" s="38">
        <v>585.16</v>
      </c>
      <c r="F164" s="37">
        <v>17</v>
      </c>
      <c r="G164" s="40">
        <v>0.1</v>
      </c>
      <c r="H164" s="41">
        <v>45684</v>
      </c>
      <c r="I164" s="38">
        <v>263.32</v>
      </c>
      <c r="J164" s="38">
        <f t="shared" si="15"/>
        <v>650.17777777777769</v>
      </c>
      <c r="K164" s="38">
        <f t="shared" si="16"/>
        <v>321.83999999999997</v>
      </c>
      <c r="L164" s="42">
        <f t="shared" ca="1" si="17"/>
        <v>46323.405950462962</v>
      </c>
    </row>
    <row r="165" spans="1:12" x14ac:dyDescent="0.3">
      <c r="A165" s="37" t="s">
        <v>39</v>
      </c>
      <c r="B165" s="37" t="s">
        <v>48</v>
      </c>
      <c r="C165" s="37" t="s">
        <v>35</v>
      </c>
      <c r="D165" s="37" t="s">
        <v>32</v>
      </c>
      <c r="E165" s="38">
        <v>1109.98</v>
      </c>
      <c r="F165" s="37">
        <v>5</v>
      </c>
      <c r="G165" s="40">
        <v>0.2</v>
      </c>
      <c r="H165" s="41">
        <v>45690</v>
      </c>
      <c r="I165" s="38">
        <v>443.99</v>
      </c>
      <c r="J165" s="38">
        <f t="shared" si="15"/>
        <v>1387.4749999999999</v>
      </c>
      <c r="K165" s="38">
        <f t="shared" si="16"/>
        <v>665.99</v>
      </c>
      <c r="L165" s="42">
        <f t="shared" ca="1" si="17"/>
        <v>46323.405950462962</v>
      </c>
    </row>
    <row r="166" spans="1:12" x14ac:dyDescent="0.3">
      <c r="A166" s="37" t="s">
        <v>75</v>
      </c>
      <c r="B166" s="37" t="s">
        <v>62</v>
      </c>
      <c r="C166" s="37" t="s">
        <v>35</v>
      </c>
      <c r="D166" s="37" t="s">
        <v>29</v>
      </c>
      <c r="E166" s="38">
        <v>1098.08</v>
      </c>
      <c r="F166" s="37">
        <v>9</v>
      </c>
      <c r="G166" s="40">
        <v>0.1</v>
      </c>
      <c r="H166" s="41">
        <v>45692</v>
      </c>
      <c r="I166" s="38">
        <v>395.31</v>
      </c>
      <c r="J166" s="38">
        <f t="shared" si="15"/>
        <v>1220.0888888888887</v>
      </c>
      <c r="K166" s="38">
        <f t="shared" si="16"/>
        <v>702.77</v>
      </c>
      <c r="L166" s="42">
        <f t="shared" ca="1" si="17"/>
        <v>46323.405950462962</v>
      </c>
    </row>
    <row r="167" spans="1:12" x14ac:dyDescent="0.3">
      <c r="A167" s="37" t="s">
        <v>82</v>
      </c>
      <c r="B167" s="37" t="s">
        <v>65</v>
      </c>
      <c r="C167" s="37" t="s">
        <v>28</v>
      </c>
      <c r="D167" s="37" t="s">
        <v>56</v>
      </c>
      <c r="E167" s="38">
        <v>827.25</v>
      </c>
      <c r="F167" s="37">
        <v>7</v>
      </c>
      <c r="G167" s="40">
        <v>0.1</v>
      </c>
      <c r="H167" s="41">
        <v>45693</v>
      </c>
      <c r="I167" s="38">
        <v>335.04</v>
      </c>
      <c r="J167" s="38">
        <f t="shared" si="15"/>
        <v>919.16666666666663</v>
      </c>
      <c r="K167" s="38">
        <f t="shared" si="16"/>
        <v>492.21</v>
      </c>
      <c r="L167" s="42">
        <f t="shared" ca="1" si="17"/>
        <v>46323.405950462962</v>
      </c>
    </row>
    <row r="168" spans="1:12" x14ac:dyDescent="0.3">
      <c r="A168" s="37" t="s">
        <v>87</v>
      </c>
      <c r="B168" s="37" t="s">
        <v>46</v>
      </c>
      <c r="C168" s="37" t="s">
        <v>51</v>
      </c>
      <c r="D168" s="37" t="s">
        <v>32</v>
      </c>
      <c r="E168" s="38">
        <v>741.88</v>
      </c>
      <c r="F168" s="37">
        <v>16</v>
      </c>
      <c r="G168" s="40">
        <v>0.1</v>
      </c>
      <c r="H168" s="41">
        <v>45695</v>
      </c>
      <c r="I168" s="38">
        <v>333.85</v>
      </c>
      <c r="J168" s="38">
        <f t="shared" si="15"/>
        <v>824.31111111111113</v>
      </c>
      <c r="K168" s="38">
        <f t="shared" si="16"/>
        <v>408.03</v>
      </c>
      <c r="L168" s="42">
        <f t="shared" ca="1" si="17"/>
        <v>46323.405950462962</v>
      </c>
    </row>
    <row r="169" spans="1:12" x14ac:dyDescent="0.3">
      <c r="A169" s="37" t="s">
        <v>89</v>
      </c>
      <c r="B169" s="37" t="s">
        <v>27</v>
      </c>
      <c r="C169" s="37" t="s">
        <v>35</v>
      </c>
      <c r="D169" s="37" t="s">
        <v>56</v>
      </c>
      <c r="E169" s="38">
        <v>1311.26</v>
      </c>
      <c r="F169" s="37">
        <v>6</v>
      </c>
      <c r="G169" s="40">
        <v>0.1</v>
      </c>
      <c r="H169" s="41">
        <v>45698</v>
      </c>
      <c r="I169" s="38">
        <v>531.05999999999995</v>
      </c>
      <c r="J169" s="38">
        <f t="shared" si="15"/>
        <v>1456.9555555555555</v>
      </c>
      <c r="K169" s="38">
        <f t="shared" si="16"/>
        <v>780.2</v>
      </c>
      <c r="L169" s="42">
        <f t="shared" ca="1" si="17"/>
        <v>46323.405950462962</v>
      </c>
    </row>
    <row r="170" spans="1:12" x14ac:dyDescent="0.3">
      <c r="A170" s="37" t="s">
        <v>89</v>
      </c>
      <c r="B170" s="37" t="s">
        <v>48</v>
      </c>
      <c r="C170" s="37" t="s">
        <v>37</v>
      </c>
      <c r="D170" s="37" t="s">
        <v>56</v>
      </c>
      <c r="E170" s="38">
        <v>573.32000000000005</v>
      </c>
      <c r="F170" s="37">
        <v>19</v>
      </c>
      <c r="G170" s="40">
        <v>0.1</v>
      </c>
      <c r="H170" s="41">
        <v>45703</v>
      </c>
      <c r="I170" s="38">
        <v>232.19</v>
      </c>
      <c r="J170" s="38">
        <f t="shared" si="15"/>
        <v>637.02222222222224</v>
      </c>
      <c r="K170" s="38">
        <f t="shared" si="16"/>
        <v>341.13000000000005</v>
      </c>
      <c r="L170" s="42">
        <f t="shared" ca="1" si="17"/>
        <v>46323.405950462962</v>
      </c>
    </row>
    <row r="171" spans="1:12" x14ac:dyDescent="0.3">
      <c r="A171" s="37" t="s">
        <v>69</v>
      </c>
      <c r="B171" s="37" t="s">
        <v>40</v>
      </c>
      <c r="C171" s="37" t="s">
        <v>28</v>
      </c>
      <c r="D171" s="37" t="s">
        <v>38</v>
      </c>
      <c r="E171" s="38">
        <v>1115.22</v>
      </c>
      <c r="F171" s="37">
        <v>14</v>
      </c>
      <c r="G171" s="40">
        <v>0.2</v>
      </c>
      <c r="H171" s="41">
        <v>45705</v>
      </c>
      <c r="I171" s="38">
        <v>223.04</v>
      </c>
      <c r="J171" s="38">
        <f t="shared" si="15"/>
        <v>1394.0249999999999</v>
      </c>
      <c r="K171" s="38">
        <f t="shared" si="16"/>
        <v>892.18000000000006</v>
      </c>
      <c r="L171" s="42">
        <f t="shared" ca="1" si="17"/>
        <v>46323.405950462962</v>
      </c>
    </row>
    <row r="172" spans="1:12" x14ac:dyDescent="0.3">
      <c r="A172" s="37" t="s">
        <v>30</v>
      </c>
      <c r="B172" s="37" t="s">
        <v>62</v>
      </c>
      <c r="C172" s="37" t="s">
        <v>41</v>
      </c>
      <c r="D172" s="37" t="s">
        <v>32</v>
      </c>
      <c r="E172" s="38">
        <v>845.84</v>
      </c>
      <c r="F172" s="37">
        <v>4</v>
      </c>
      <c r="G172" s="40">
        <v>0</v>
      </c>
      <c r="H172" s="41">
        <v>45707</v>
      </c>
      <c r="I172" s="38">
        <v>422.92</v>
      </c>
      <c r="J172" s="38">
        <f t="shared" si="15"/>
        <v>845.84</v>
      </c>
      <c r="K172" s="38">
        <f t="shared" si="16"/>
        <v>422.92</v>
      </c>
      <c r="L172" s="42">
        <f t="shared" ca="1" si="17"/>
        <v>46323.405950462962</v>
      </c>
    </row>
    <row r="173" spans="1:12" x14ac:dyDescent="0.3">
      <c r="A173" s="37" t="s">
        <v>47</v>
      </c>
      <c r="B173" s="37" t="s">
        <v>72</v>
      </c>
      <c r="C173" s="37" t="s">
        <v>28</v>
      </c>
      <c r="D173" s="37" t="s">
        <v>38</v>
      </c>
      <c r="E173" s="38">
        <v>1029.8</v>
      </c>
      <c r="F173" s="37">
        <v>3</v>
      </c>
      <c r="G173" s="40">
        <v>0</v>
      </c>
      <c r="H173" s="41">
        <v>45708</v>
      </c>
      <c r="I173" s="38">
        <v>257.45</v>
      </c>
      <c r="J173" s="38">
        <f t="shared" si="15"/>
        <v>1029.8</v>
      </c>
      <c r="K173" s="38">
        <f t="shared" si="16"/>
        <v>772.34999999999991</v>
      </c>
      <c r="L173" s="42">
        <f t="shared" ca="1" si="17"/>
        <v>46323.405950462962</v>
      </c>
    </row>
    <row r="174" spans="1:12" x14ac:dyDescent="0.3">
      <c r="A174" s="37" t="s">
        <v>49</v>
      </c>
      <c r="B174" s="37" t="s">
        <v>48</v>
      </c>
      <c r="C174" s="37" t="s">
        <v>41</v>
      </c>
      <c r="D174" s="37" t="s">
        <v>29</v>
      </c>
      <c r="E174" s="38">
        <v>1189.83</v>
      </c>
      <c r="F174" s="37">
        <v>2</v>
      </c>
      <c r="G174" s="40">
        <v>0.2</v>
      </c>
      <c r="H174" s="41">
        <v>45709</v>
      </c>
      <c r="I174" s="38">
        <v>380.75</v>
      </c>
      <c r="J174" s="38">
        <f t="shared" si="15"/>
        <v>1487.2874999999999</v>
      </c>
      <c r="K174" s="38">
        <f t="shared" si="16"/>
        <v>809.07999999999993</v>
      </c>
      <c r="L174" s="42">
        <f t="shared" ca="1" si="17"/>
        <v>46323.405950462962</v>
      </c>
    </row>
    <row r="175" spans="1:12" x14ac:dyDescent="0.3">
      <c r="A175" s="37" t="s">
        <v>84</v>
      </c>
      <c r="B175" s="37" t="s">
        <v>60</v>
      </c>
      <c r="C175" s="37" t="s">
        <v>37</v>
      </c>
      <c r="D175" s="37" t="s">
        <v>29</v>
      </c>
      <c r="E175" s="38">
        <v>704.28</v>
      </c>
      <c r="F175" s="37">
        <v>15</v>
      </c>
      <c r="G175" s="40">
        <v>0.2</v>
      </c>
      <c r="H175" s="41">
        <v>45712</v>
      </c>
      <c r="I175" s="38">
        <v>225.37</v>
      </c>
      <c r="J175" s="38">
        <f t="shared" si="15"/>
        <v>880.34999999999991</v>
      </c>
      <c r="K175" s="38">
        <f t="shared" si="16"/>
        <v>478.90999999999997</v>
      </c>
      <c r="L175" s="42">
        <f t="shared" ca="1" si="17"/>
        <v>46323.405950462962</v>
      </c>
    </row>
    <row r="176" spans="1:12" x14ac:dyDescent="0.3">
      <c r="A176" s="37" t="s">
        <v>82</v>
      </c>
      <c r="B176" s="37" t="s">
        <v>64</v>
      </c>
      <c r="C176" s="37" t="s">
        <v>51</v>
      </c>
      <c r="D176" s="37" t="s">
        <v>56</v>
      </c>
      <c r="E176" s="38">
        <v>1618.22</v>
      </c>
      <c r="F176" s="37">
        <v>12</v>
      </c>
      <c r="G176" s="40">
        <v>0.2</v>
      </c>
      <c r="H176" s="41">
        <v>45712</v>
      </c>
      <c r="I176" s="38">
        <v>582.55999999999995</v>
      </c>
      <c r="J176" s="38">
        <f t="shared" si="15"/>
        <v>2022.7749999999999</v>
      </c>
      <c r="K176" s="38">
        <f t="shared" si="16"/>
        <v>1035.6600000000001</v>
      </c>
      <c r="L176" s="42">
        <f t="shared" ca="1" si="17"/>
        <v>46323.405950462962</v>
      </c>
    </row>
    <row r="177" spans="1:12" x14ac:dyDescent="0.3">
      <c r="A177" s="37" t="s">
        <v>90</v>
      </c>
      <c r="B177" s="37" t="s">
        <v>70</v>
      </c>
      <c r="C177" s="37" t="s">
        <v>51</v>
      </c>
      <c r="D177" s="37" t="s">
        <v>29</v>
      </c>
      <c r="E177" s="38">
        <v>1014.43</v>
      </c>
      <c r="F177" s="37">
        <v>2</v>
      </c>
      <c r="G177" s="40">
        <v>0.15</v>
      </c>
      <c r="H177" s="41">
        <v>45713</v>
      </c>
      <c r="I177" s="38">
        <v>344.91</v>
      </c>
      <c r="J177" s="38">
        <f t="shared" si="15"/>
        <v>1193.4470588235295</v>
      </c>
      <c r="K177" s="38">
        <f t="shared" si="16"/>
        <v>669.52</v>
      </c>
      <c r="L177" s="42">
        <f t="shared" ca="1" si="17"/>
        <v>46323.405950462962</v>
      </c>
    </row>
    <row r="178" spans="1:12" x14ac:dyDescent="0.3">
      <c r="A178" s="37" t="s">
        <v>92</v>
      </c>
      <c r="B178" s="37" t="s">
        <v>48</v>
      </c>
      <c r="C178" s="37" t="s">
        <v>51</v>
      </c>
      <c r="D178" s="37" t="s">
        <v>32</v>
      </c>
      <c r="E178" s="38">
        <v>826.97</v>
      </c>
      <c r="F178" s="37">
        <v>18</v>
      </c>
      <c r="G178" s="40">
        <v>0.2</v>
      </c>
      <c r="H178" s="41">
        <v>45715</v>
      </c>
      <c r="I178" s="38">
        <v>330.79</v>
      </c>
      <c r="J178" s="38">
        <f t="shared" si="15"/>
        <v>1033.7124999999999</v>
      </c>
      <c r="K178" s="38">
        <f t="shared" si="16"/>
        <v>496.18</v>
      </c>
      <c r="L178" s="42">
        <f t="shared" ca="1" si="17"/>
        <v>46323.405950462962</v>
      </c>
    </row>
    <row r="179" spans="1:12" x14ac:dyDescent="0.3">
      <c r="A179" s="37" t="s">
        <v>33</v>
      </c>
      <c r="B179" s="37" t="s">
        <v>48</v>
      </c>
      <c r="C179" s="37" t="s">
        <v>51</v>
      </c>
      <c r="D179" s="37" t="s">
        <v>32</v>
      </c>
      <c r="E179" s="38">
        <v>1022.23</v>
      </c>
      <c r="F179" s="37">
        <v>8</v>
      </c>
      <c r="G179" s="40">
        <v>0.1</v>
      </c>
      <c r="H179" s="41">
        <v>45717</v>
      </c>
      <c r="I179" s="38">
        <v>460</v>
      </c>
      <c r="J179" s="38">
        <f t="shared" si="15"/>
        <v>1135.8111111111111</v>
      </c>
      <c r="K179" s="38">
        <f t="shared" si="16"/>
        <v>562.23</v>
      </c>
      <c r="L179" s="42">
        <f t="shared" ca="1" si="17"/>
        <v>46323.405950462962</v>
      </c>
    </row>
    <row r="180" spans="1:12" x14ac:dyDescent="0.3">
      <c r="A180" s="37" t="s">
        <v>89</v>
      </c>
      <c r="B180" s="37" t="s">
        <v>46</v>
      </c>
      <c r="C180" s="37" t="s">
        <v>35</v>
      </c>
      <c r="D180" s="37" t="s">
        <v>29</v>
      </c>
      <c r="E180" s="38">
        <v>1099.69</v>
      </c>
      <c r="F180" s="37">
        <v>6</v>
      </c>
      <c r="G180" s="40">
        <v>0</v>
      </c>
      <c r="H180" s="41">
        <v>45718</v>
      </c>
      <c r="I180" s="38">
        <v>439.88</v>
      </c>
      <c r="J180" s="38">
        <f t="shared" si="15"/>
        <v>1099.69</v>
      </c>
      <c r="K180" s="38">
        <f t="shared" si="16"/>
        <v>659.81000000000006</v>
      </c>
      <c r="L180" s="42">
        <f t="shared" ca="1" si="17"/>
        <v>46323.405950462962</v>
      </c>
    </row>
    <row r="181" spans="1:12" x14ac:dyDescent="0.3">
      <c r="A181" s="37" t="s">
        <v>69</v>
      </c>
      <c r="B181" s="37" t="s">
        <v>81</v>
      </c>
      <c r="C181" s="37" t="s">
        <v>41</v>
      </c>
      <c r="D181" s="37" t="s">
        <v>29</v>
      </c>
      <c r="E181" s="38">
        <v>710.52</v>
      </c>
      <c r="F181" s="37">
        <v>8</v>
      </c>
      <c r="G181" s="40">
        <v>0.1</v>
      </c>
      <c r="H181" s="41">
        <v>45721</v>
      </c>
      <c r="I181" s="38">
        <v>255.79</v>
      </c>
      <c r="J181" s="38">
        <f t="shared" si="15"/>
        <v>789.46666666666658</v>
      </c>
      <c r="K181" s="38">
        <f t="shared" si="16"/>
        <v>454.73</v>
      </c>
      <c r="L181" s="42">
        <f t="shared" ca="1" si="17"/>
        <v>46323.405950462962</v>
      </c>
    </row>
    <row r="182" spans="1:12" x14ac:dyDescent="0.3">
      <c r="A182" s="37" t="s">
        <v>69</v>
      </c>
      <c r="B182" s="37" t="s">
        <v>76</v>
      </c>
      <c r="C182" s="37" t="s">
        <v>41</v>
      </c>
      <c r="D182" s="37" t="s">
        <v>29</v>
      </c>
      <c r="E182" s="38">
        <v>499.18</v>
      </c>
      <c r="F182" s="37">
        <v>15</v>
      </c>
      <c r="G182" s="40">
        <v>0.2</v>
      </c>
      <c r="H182" s="41">
        <v>45724</v>
      </c>
      <c r="I182" s="38">
        <v>159.74</v>
      </c>
      <c r="J182" s="38">
        <f t="shared" si="15"/>
        <v>623.97500000000002</v>
      </c>
      <c r="K182" s="38">
        <f t="shared" si="16"/>
        <v>339.44</v>
      </c>
      <c r="L182" s="42">
        <f t="shared" ca="1" si="17"/>
        <v>46323.405950462962</v>
      </c>
    </row>
    <row r="183" spans="1:12" x14ac:dyDescent="0.3">
      <c r="A183" s="37" t="s">
        <v>54</v>
      </c>
      <c r="B183" s="37" t="s">
        <v>55</v>
      </c>
      <c r="C183" s="37" t="s">
        <v>37</v>
      </c>
      <c r="D183" s="37" t="s">
        <v>29</v>
      </c>
      <c r="E183" s="38">
        <v>1064.19</v>
      </c>
      <c r="F183" s="37">
        <v>18</v>
      </c>
      <c r="G183" s="40">
        <v>0.05</v>
      </c>
      <c r="H183" s="41">
        <v>45725</v>
      </c>
      <c r="I183" s="38">
        <v>404.39</v>
      </c>
      <c r="J183" s="38">
        <f t="shared" si="15"/>
        <v>1120.2</v>
      </c>
      <c r="K183" s="38">
        <f t="shared" si="16"/>
        <v>659.80000000000007</v>
      </c>
      <c r="L183" s="42">
        <f t="shared" ca="1" si="17"/>
        <v>46323.405950462962</v>
      </c>
    </row>
    <row r="184" spans="1:12" x14ac:dyDescent="0.3">
      <c r="A184" s="37" t="s">
        <v>84</v>
      </c>
      <c r="B184" s="37" t="s">
        <v>55</v>
      </c>
      <c r="C184" s="37" t="s">
        <v>35</v>
      </c>
      <c r="D184" s="37" t="s">
        <v>56</v>
      </c>
      <c r="E184" s="38">
        <v>438.76</v>
      </c>
      <c r="F184" s="37">
        <v>18</v>
      </c>
      <c r="G184" s="40">
        <v>0.05</v>
      </c>
      <c r="H184" s="41">
        <v>45726</v>
      </c>
      <c r="I184" s="38">
        <v>187.57</v>
      </c>
      <c r="J184" s="38">
        <f t="shared" si="15"/>
        <v>461.85263157894735</v>
      </c>
      <c r="K184" s="38">
        <f t="shared" si="16"/>
        <v>251.19</v>
      </c>
      <c r="L184" s="42">
        <f t="shared" ca="1" si="17"/>
        <v>46323.405950462962</v>
      </c>
    </row>
    <row r="185" spans="1:12" x14ac:dyDescent="0.3">
      <c r="A185" s="37" t="s">
        <v>58</v>
      </c>
      <c r="B185" s="37" t="s">
        <v>72</v>
      </c>
      <c r="C185" s="37" t="s">
        <v>28</v>
      </c>
      <c r="D185" s="37" t="s">
        <v>32</v>
      </c>
      <c r="E185" s="38">
        <v>864.98</v>
      </c>
      <c r="F185" s="37">
        <v>2</v>
      </c>
      <c r="G185" s="40">
        <v>0.05</v>
      </c>
      <c r="H185" s="41">
        <v>45727</v>
      </c>
      <c r="I185" s="38">
        <v>410.87</v>
      </c>
      <c r="J185" s="38">
        <f t="shared" si="15"/>
        <v>910.50526315789477</v>
      </c>
      <c r="K185" s="38">
        <f t="shared" si="16"/>
        <v>454.11</v>
      </c>
      <c r="L185" s="42">
        <f t="shared" ca="1" si="17"/>
        <v>46323.405950462962</v>
      </c>
    </row>
    <row r="186" spans="1:12" x14ac:dyDescent="0.3">
      <c r="A186" s="37" t="s">
        <v>74</v>
      </c>
      <c r="B186" s="37" t="s">
        <v>72</v>
      </c>
      <c r="C186" s="37" t="s">
        <v>28</v>
      </c>
      <c r="D186" s="37" t="s">
        <v>44</v>
      </c>
      <c r="E186" s="38">
        <v>984.93</v>
      </c>
      <c r="F186" s="37">
        <v>14</v>
      </c>
      <c r="G186" s="40">
        <v>0.2</v>
      </c>
      <c r="H186" s="41">
        <v>45733</v>
      </c>
      <c r="I186" s="38">
        <v>275.77999999999997</v>
      </c>
      <c r="J186" s="38">
        <f t="shared" si="15"/>
        <v>1231.1624999999999</v>
      </c>
      <c r="K186" s="38">
        <f t="shared" si="16"/>
        <v>709.15</v>
      </c>
      <c r="L186" s="42">
        <f t="shared" ca="1" si="17"/>
        <v>46323.405950462962</v>
      </c>
    </row>
    <row r="187" spans="1:12" x14ac:dyDescent="0.3">
      <c r="A187" s="37" t="s">
        <v>42</v>
      </c>
      <c r="B187" s="37" t="s">
        <v>72</v>
      </c>
      <c r="C187" s="37" t="s">
        <v>28</v>
      </c>
      <c r="D187" s="37" t="s">
        <v>32</v>
      </c>
      <c r="E187" s="38">
        <v>1493.49</v>
      </c>
      <c r="F187" s="37">
        <v>18</v>
      </c>
      <c r="G187" s="40">
        <v>0</v>
      </c>
      <c r="H187" s="41">
        <v>45734</v>
      </c>
      <c r="I187" s="38">
        <v>746.74</v>
      </c>
      <c r="J187" s="38">
        <f t="shared" si="15"/>
        <v>1493.49</v>
      </c>
      <c r="K187" s="38">
        <f t="shared" si="16"/>
        <v>746.75</v>
      </c>
      <c r="L187" s="42">
        <f t="shared" ca="1" si="17"/>
        <v>46323.405950462962</v>
      </c>
    </row>
    <row r="188" spans="1:12" x14ac:dyDescent="0.3">
      <c r="A188" s="37" t="s">
        <v>49</v>
      </c>
      <c r="B188" s="37" t="s">
        <v>70</v>
      </c>
      <c r="C188" s="37" t="s">
        <v>37</v>
      </c>
      <c r="D188" s="37" t="s">
        <v>32</v>
      </c>
      <c r="E188" s="38">
        <v>689.43</v>
      </c>
      <c r="F188" s="37">
        <v>9</v>
      </c>
      <c r="G188" s="40">
        <v>0.1</v>
      </c>
      <c r="H188" s="41">
        <v>45736</v>
      </c>
      <c r="I188" s="38">
        <v>310.24</v>
      </c>
      <c r="J188" s="38">
        <f t="shared" si="15"/>
        <v>766.0333333333333</v>
      </c>
      <c r="K188" s="38">
        <f t="shared" si="16"/>
        <v>379.18999999999994</v>
      </c>
      <c r="L188" s="42">
        <f t="shared" ca="1" si="17"/>
        <v>46323.405950462962</v>
      </c>
    </row>
    <row r="189" spans="1:12" x14ac:dyDescent="0.3">
      <c r="A189" s="37" t="s">
        <v>57</v>
      </c>
      <c r="B189" s="37" t="s">
        <v>76</v>
      </c>
      <c r="C189" s="37" t="s">
        <v>37</v>
      </c>
      <c r="D189" s="37" t="s">
        <v>32</v>
      </c>
      <c r="E189" s="38">
        <v>682.24</v>
      </c>
      <c r="F189" s="37">
        <v>1</v>
      </c>
      <c r="G189" s="40">
        <v>0</v>
      </c>
      <c r="H189" s="41">
        <v>45738</v>
      </c>
      <c r="I189" s="38">
        <v>341.12</v>
      </c>
      <c r="J189" s="38">
        <f t="shared" si="15"/>
        <v>682.24</v>
      </c>
      <c r="K189" s="38">
        <f t="shared" si="16"/>
        <v>341.12</v>
      </c>
      <c r="L189" s="42">
        <f t="shared" ca="1" si="17"/>
        <v>46323.405950462962</v>
      </c>
    </row>
    <row r="190" spans="1:12" x14ac:dyDescent="0.3">
      <c r="A190" s="37" t="s">
        <v>58</v>
      </c>
      <c r="B190" s="37" t="s">
        <v>43</v>
      </c>
      <c r="C190" s="37" t="s">
        <v>41</v>
      </c>
      <c r="D190" s="37" t="s">
        <v>38</v>
      </c>
      <c r="E190" s="38">
        <v>458.54</v>
      </c>
      <c r="F190" s="37">
        <v>15</v>
      </c>
      <c r="G190" s="40">
        <v>0.2</v>
      </c>
      <c r="H190" s="41">
        <v>45741</v>
      </c>
      <c r="I190" s="38">
        <v>91.71</v>
      </c>
      <c r="J190" s="38">
        <f t="shared" si="15"/>
        <v>573.17499999999995</v>
      </c>
      <c r="K190" s="38">
        <f t="shared" si="16"/>
        <v>366.83000000000004</v>
      </c>
      <c r="L190" s="42">
        <f t="shared" ca="1" si="17"/>
        <v>46323.405950462962</v>
      </c>
    </row>
    <row r="191" spans="1:12" x14ac:dyDescent="0.3">
      <c r="A191" s="37" t="s">
        <v>49</v>
      </c>
      <c r="B191" s="37" t="s">
        <v>43</v>
      </c>
      <c r="C191" s="37" t="s">
        <v>37</v>
      </c>
      <c r="D191" s="37" t="s">
        <v>44</v>
      </c>
      <c r="E191" s="38">
        <v>1184.25</v>
      </c>
      <c r="F191" s="37">
        <v>11</v>
      </c>
      <c r="G191" s="40">
        <v>0.2</v>
      </c>
      <c r="H191" s="41">
        <v>45742</v>
      </c>
      <c r="I191" s="38">
        <v>331.59</v>
      </c>
      <c r="J191" s="38">
        <f t="shared" si="15"/>
        <v>1480.3125</v>
      </c>
      <c r="K191" s="38">
        <f t="shared" si="16"/>
        <v>852.66000000000008</v>
      </c>
      <c r="L191" s="42">
        <f t="shared" ca="1" si="17"/>
        <v>46323.405950462962</v>
      </c>
    </row>
    <row r="192" spans="1:12" x14ac:dyDescent="0.3">
      <c r="A192" s="37" t="s">
        <v>42</v>
      </c>
      <c r="B192" s="37" t="s">
        <v>27</v>
      </c>
      <c r="C192" s="37" t="s">
        <v>37</v>
      </c>
      <c r="D192" s="37" t="s">
        <v>32</v>
      </c>
      <c r="E192" s="38">
        <v>762.14</v>
      </c>
      <c r="F192" s="37">
        <v>9</v>
      </c>
      <c r="G192" s="40">
        <v>0</v>
      </c>
      <c r="H192" s="41">
        <v>45743</v>
      </c>
      <c r="I192" s="38">
        <v>381.07</v>
      </c>
      <c r="J192" s="38">
        <f t="shared" si="15"/>
        <v>762.14</v>
      </c>
      <c r="K192" s="38">
        <f t="shared" si="16"/>
        <v>381.07</v>
      </c>
      <c r="L192" s="42">
        <f t="shared" ca="1" si="17"/>
        <v>46323.405950462962</v>
      </c>
    </row>
    <row r="193" spans="1:12" x14ac:dyDescent="0.3">
      <c r="A193" s="37" t="s">
        <v>39</v>
      </c>
      <c r="B193" s="37" t="s">
        <v>70</v>
      </c>
      <c r="C193" s="37" t="s">
        <v>41</v>
      </c>
      <c r="D193" s="37" t="s">
        <v>29</v>
      </c>
      <c r="E193" s="38">
        <v>750.71</v>
      </c>
      <c r="F193" s="37">
        <v>10</v>
      </c>
      <c r="G193" s="40">
        <v>0.15</v>
      </c>
      <c r="H193" s="41">
        <v>45743</v>
      </c>
      <c r="I193" s="38">
        <v>255.24</v>
      </c>
      <c r="J193" s="38">
        <f t="shared" si="15"/>
        <v>883.1882352941177</v>
      </c>
      <c r="K193" s="38">
        <f t="shared" si="16"/>
        <v>495.47</v>
      </c>
      <c r="L193" s="42">
        <f t="shared" ca="1" si="17"/>
        <v>46323.405950462962</v>
      </c>
    </row>
    <row r="194" spans="1:12" x14ac:dyDescent="0.3">
      <c r="A194" s="37" t="s">
        <v>92</v>
      </c>
      <c r="B194" s="37" t="s">
        <v>88</v>
      </c>
      <c r="C194" s="37" t="s">
        <v>51</v>
      </c>
      <c r="D194" s="37" t="s">
        <v>32</v>
      </c>
      <c r="E194" s="38">
        <v>1456.94</v>
      </c>
      <c r="F194" s="37">
        <v>14</v>
      </c>
      <c r="G194" s="40">
        <v>0.05</v>
      </c>
      <c r="H194" s="41">
        <v>45745</v>
      </c>
      <c r="I194" s="38">
        <v>692.05</v>
      </c>
      <c r="J194" s="38">
        <f t="shared" ref="J194:J201" si="18">E194/(1-G194)</f>
        <v>1533.621052631579</v>
      </c>
      <c r="K194" s="38">
        <f t="shared" ref="K194:K201" si="19">E194-I194</f>
        <v>764.8900000000001</v>
      </c>
      <c r="L194" s="42">
        <f t="shared" ref="L194:L201" ca="1" si="20">NOW()</f>
        <v>46323.405950462962</v>
      </c>
    </row>
    <row r="195" spans="1:12" x14ac:dyDescent="0.3">
      <c r="A195" s="37" t="s">
        <v>61</v>
      </c>
      <c r="B195" s="37" t="s">
        <v>78</v>
      </c>
      <c r="C195" s="37" t="s">
        <v>35</v>
      </c>
      <c r="D195" s="37" t="s">
        <v>44</v>
      </c>
      <c r="E195" s="38">
        <v>1093.3800000000001</v>
      </c>
      <c r="F195" s="37">
        <v>17</v>
      </c>
      <c r="G195" s="40">
        <v>0.1</v>
      </c>
      <c r="H195" s="41">
        <v>45745</v>
      </c>
      <c r="I195" s="38">
        <v>344.41</v>
      </c>
      <c r="J195" s="38">
        <f t="shared" si="18"/>
        <v>1214.8666666666668</v>
      </c>
      <c r="K195" s="38">
        <f t="shared" si="19"/>
        <v>748.97</v>
      </c>
      <c r="L195" s="42">
        <f t="shared" ca="1" si="20"/>
        <v>46323.405950462962</v>
      </c>
    </row>
    <row r="196" spans="1:12" x14ac:dyDescent="0.3">
      <c r="A196" s="37" t="s">
        <v>54</v>
      </c>
      <c r="B196" s="37" t="s">
        <v>60</v>
      </c>
      <c r="C196" s="37" t="s">
        <v>28</v>
      </c>
      <c r="D196" s="37" t="s">
        <v>32</v>
      </c>
      <c r="E196" s="38">
        <v>934.27</v>
      </c>
      <c r="F196" s="37">
        <v>8</v>
      </c>
      <c r="G196" s="40">
        <v>0.15</v>
      </c>
      <c r="H196" s="41">
        <v>45746</v>
      </c>
      <c r="I196" s="38">
        <v>397.06</v>
      </c>
      <c r="J196" s="38">
        <f t="shared" si="18"/>
        <v>1099.1411764705883</v>
      </c>
      <c r="K196" s="38">
        <f t="shared" si="19"/>
        <v>537.21</v>
      </c>
      <c r="L196" s="42">
        <f t="shared" ca="1" si="20"/>
        <v>46323.405950462962</v>
      </c>
    </row>
    <row r="197" spans="1:12" x14ac:dyDescent="0.3">
      <c r="A197" s="37" t="s">
        <v>87</v>
      </c>
      <c r="B197" s="37" t="s">
        <v>53</v>
      </c>
      <c r="C197" s="37" t="s">
        <v>51</v>
      </c>
      <c r="D197" s="37" t="s">
        <v>32</v>
      </c>
      <c r="E197" s="38">
        <v>1465.35</v>
      </c>
      <c r="F197" s="37">
        <v>8</v>
      </c>
      <c r="G197" s="40">
        <v>0.2</v>
      </c>
      <c r="H197" s="41">
        <v>45746</v>
      </c>
      <c r="I197" s="38">
        <v>586.14</v>
      </c>
      <c r="J197" s="38">
        <f t="shared" si="18"/>
        <v>1831.6874999999998</v>
      </c>
      <c r="K197" s="38">
        <f t="shared" si="19"/>
        <v>879.20999999999992</v>
      </c>
      <c r="L197" s="42">
        <f t="shared" ca="1" si="20"/>
        <v>46323.405950462962</v>
      </c>
    </row>
    <row r="198" spans="1:12" x14ac:dyDescent="0.3">
      <c r="A198" s="37" t="s">
        <v>69</v>
      </c>
      <c r="B198" s="37" t="s">
        <v>31</v>
      </c>
      <c r="C198" s="37" t="s">
        <v>37</v>
      </c>
      <c r="D198" s="37" t="s">
        <v>56</v>
      </c>
      <c r="E198" s="38">
        <v>740.8</v>
      </c>
      <c r="F198" s="37">
        <v>3</v>
      </c>
      <c r="G198" s="40">
        <v>0</v>
      </c>
      <c r="H198" s="41">
        <v>45749</v>
      </c>
      <c r="I198" s="38">
        <v>333.36</v>
      </c>
      <c r="J198" s="38">
        <f t="shared" si="18"/>
        <v>740.8</v>
      </c>
      <c r="K198" s="38">
        <f t="shared" si="19"/>
        <v>407.43999999999994</v>
      </c>
      <c r="L198" s="42">
        <f t="shared" ca="1" si="20"/>
        <v>46323.405950462962</v>
      </c>
    </row>
    <row r="199" spans="1:12" x14ac:dyDescent="0.3">
      <c r="A199" s="37" t="s">
        <v>75</v>
      </c>
      <c r="B199" s="37" t="s">
        <v>60</v>
      </c>
      <c r="C199" s="37" t="s">
        <v>28</v>
      </c>
      <c r="D199" s="37" t="s">
        <v>56</v>
      </c>
      <c r="E199" s="38">
        <v>545.44000000000005</v>
      </c>
      <c r="F199" s="37">
        <v>17</v>
      </c>
      <c r="G199" s="40">
        <v>0</v>
      </c>
      <c r="H199" s="41">
        <v>45752</v>
      </c>
      <c r="I199" s="38">
        <v>245.45</v>
      </c>
      <c r="J199" s="38">
        <f t="shared" si="18"/>
        <v>545.44000000000005</v>
      </c>
      <c r="K199" s="38">
        <f t="shared" si="19"/>
        <v>299.99000000000007</v>
      </c>
      <c r="L199" s="42">
        <f t="shared" ca="1" si="20"/>
        <v>46323.405950462962</v>
      </c>
    </row>
    <row r="200" spans="1:12" x14ac:dyDescent="0.3">
      <c r="A200" s="37" t="s">
        <v>52</v>
      </c>
      <c r="B200" s="37" t="s">
        <v>53</v>
      </c>
      <c r="C200" s="37" t="s">
        <v>35</v>
      </c>
      <c r="D200" s="37" t="s">
        <v>29</v>
      </c>
      <c r="E200" s="38">
        <v>997.61</v>
      </c>
      <c r="F200" s="37">
        <v>8</v>
      </c>
      <c r="G200" s="40">
        <v>0.05</v>
      </c>
      <c r="H200" s="41">
        <v>45752</v>
      </c>
      <c r="I200" s="38">
        <v>379.09</v>
      </c>
      <c r="J200" s="38">
        <f t="shared" si="18"/>
        <v>1050.1157894736843</v>
      </c>
      <c r="K200" s="38">
        <f t="shared" si="19"/>
        <v>618.52</v>
      </c>
      <c r="L200" s="42">
        <f t="shared" ca="1" si="20"/>
        <v>46323.405950462962</v>
      </c>
    </row>
    <row r="201" spans="1:12" x14ac:dyDescent="0.3">
      <c r="A201" s="37" t="s">
        <v>77</v>
      </c>
      <c r="B201" s="37" t="s">
        <v>53</v>
      </c>
      <c r="C201" s="37" t="s">
        <v>37</v>
      </c>
      <c r="D201" s="37" t="s">
        <v>32</v>
      </c>
      <c r="E201" s="38">
        <v>928.32</v>
      </c>
      <c r="F201" s="37">
        <v>2</v>
      </c>
      <c r="G201" s="40">
        <v>0.05</v>
      </c>
      <c r="H201" s="41">
        <v>45754</v>
      </c>
      <c r="I201" s="38">
        <v>440.95</v>
      </c>
      <c r="J201" s="38">
        <f t="shared" si="18"/>
        <v>977.17894736842118</v>
      </c>
      <c r="K201" s="38">
        <f t="shared" si="19"/>
        <v>487.37000000000006</v>
      </c>
      <c r="L201" s="42">
        <f t="shared" ca="1" si="20"/>
        <v>46323.405950462962</v>
      </c>
    </row>
  </sheetData>
  <autoFilter ref="A1:L20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7"/>
  <sheetViews>
    <sheetView zoomScaleNormal="100" workbookViewId="0">
      <selection activeCell="A5" sqref="A5:E17"/>
    </sheetView>
  </sheetViews>
  <sheetFormatPr defaultColWidth="8.6640625" defaultRowHeight="14.4" x14ac:dyDescent="0.3"/>
  <cols>
    <col min="1" max="1" width="13" customWidth="1"/>
    <col min="2" max="3" width="14" customWidth="1"/>
    <col min="4" max="4" width="15" customWidth="1"/>
    <col min="5" max="5" width="9" customWidth="1"/>
  </cols>
  <sheetData>
    <row r="1" spans="1:9" ht="17.399999999999999" x14ac:dyDescent="0.3">
      <c r="A1" s="35" t="s">
        <v>179</v>
      </c>
      <c r="B1" s="35"/>
      <c r="C1" s="35"/>
      <c r="D1" s="35"/>
      <c r="E1" s="35"/>
      <c r="F1" s="35"/>
      <c r="G1" s="35"/>
      <c r="H1" s="35"/>
      <c r="I1" s="35"/>
    </row>
    <row r="2" spans="1:9" x14ac:dyDescent="0.3">
      <c r="A2" s="1" t="s">
        <v>180</v>
      </c>
    </row>
    <row r="4" spans="1:9" x14ac:dyDescent="0.3">
      <c r="A4" s="48" t="s">
        <v>181</v>
      </c>
      <c r="B4" s="48" t="s">
        <v>18</v>
      </c>
      <c r="C4" s="48" t="s">
        <v>22</v>
      </c>
      <c r="D4" s="48" t="s">
        <v>182</v>
      </c>
      <c r="E4" s="48" t="s">
        <v>183</v>
      </c>
    </row>
    <row r="5" spans="1:9" x14ac:dyDescent="0.3">
      <c r="A5" s="49">
        <v>45383</v>
      </c>
      <c r="B5" s="38">
        <f>SUMIFS(Data!$E$2:$E$201,Data!$H$2:$H$201,"&gt;="&amp;A5,Data!$H$2:$H$201,"&lt;"&amp;EDATE(A5,1))</f>
        <v>19029.96</v>
      </c>
      <c r="C5" s="38">
        <f>SUMIFS(Data!$I$2:$I$201,Data!$H$2:$H$201,"&gt;="&amp;A5,Data!$H$2:$H$201,"&lt;"&amp;EDATE(A5,1))</f>
        <v>6244.01</v>
      </c>
      <c r="D5" s="50" t="s">
        <v>184</v>
      </c>
      <c r="E5" s="51"/>
    </row>
    <row r="6" spans="1:9" x14ac:dyDescent="0.3">
      <c r="A6" s="49">
        <f t="shared" ref="A6:A17" si="0">EDATE(A5,1)</f>
        <v>45413</v>
      </c>
      <c r="B6" s="38">
        <f>SUMIFS(Data!$E$2:$E$201,Data!$H$2:$H$201,"&gt;="&amp;A6,Data!$H$2:$H$201,"&lt;"&amp;EDATE(A6,1))</f>
        <v>18507.339999999997</v>
      </c>
      <c r="C6" s="38">
        <f>SUMIFS(Data!$I$2:$I$201,Data!$H$2:$H$201,"&gt;="&amp;A6,Data!$H$2:$H$201,"&lt;"&amp;EDATE(A6,1))</f>
        <v>6121.3499999999995</v>
      </c>
      <c r="D6" s="50">
        <f t="shared" ref="D6:D17" si="1">IF(B5=0,"",(B6-B5)/B5)</f>
        <v>-2.7463010957458799E-2</v>
      </c>
      <c r="E6" s="51" t="str">
        <f t="shared" ref="E6:E17" si="2">IF(D6="","",IF(D6&gt;0,"▲",IF(D6&lt;0,"▼","▶")))</f>
        <v>▼</v>
      </c>
    </row>
    <row r="7" spans="1:9" x14ac:dyDescent="0.3">
      <c r="A7" s="49">
        <f t="shared" si="0"/>
        <v>45444</v>
      </c>
      <c r="B7" s="38">
        <f>SUMIFS(Data!$E$2:$E$201,Data!$H$2:$H$201,"&gt;="&amp;A7,Data!$H$2:$H$201,"&lt;"&amp;EDATE(A7,1))</f>
        <v>20187.509999999998</v>
      </c>
      <c r="C7" s="38">
        <f>SUMIFS(Data!$I$2:$I$201,Data!$H$2:$H$201,"&gt;="&amp;A7,Data!$H$2:$H$201,"&lt;"&amp;EDATE(A7,1))</f>
        <v>6918</v>
      </c>
      <c r="D7" s="50">
        <f t="shared" si="1"/>
        <v>9.0783980842195702E-2</v>
      </c>
      <c r="E7" s="51" t="str">
        <f t="shared" si="2"/>
        <v>▲</v>
      </c>
    </row>
    <row r="8" spans="1:9" x14ac:dyDescent="0.3">
      <c r="A8" s="49">
        <f t="shared" si="0"/>
        <v>45474</v>
      </c>
      <c r="B8" s="38">
        <f>SUMIFS(Data!$E$2:$E$201,Data!$H$2:$H$201,"&gt;="&amp;A8,Data!$H$2:$H$201,"&lt;"&amp;EDATE(A8,1))</f>
        <v>11609.039999999999</v>
      </c>
      <c r="C8" s="38">
        <f>SUMIFS(Data!$I$2:$I$201,Data!$H$2:$H$201,"&gt;="&amp;A8,Data!$H$2:$H$201,"&lt;"&amp;EDATE(A8,1))</f>
        <v>3743.85</v>
      </c>
      <c r="D8" s="50">
        <f t="shared" si="1"/>
        <v>-0.42493947990614001</v>
      </c>
      <c r="E8" s="51" t="str">
        <f t="shared" si="2"/>
        <v>▼</v>
      </c>
    </row>
    <row r="9" spans="1:9" x14ac:dyDescent="0.3">
      <c r="A9" s="49">
        <f t="shared" si="0"/>
        <v>45505</v>
      </c>
      <c r="B9" s="38">
        <f>SUMIFS(Data!$E$2:$E$201,Data!$H$2:$H$201,"&gt;="&amp;A9,Data!$H$2:$H$201,"&lt;"&amp;EDATE(A9,1))</f>
        <v>10091.699999999999</v>
      </c>
      <c r="C9" s="38">
        <f>SUMIFS(Data!$I$2:$I$201,Data!$H$2:$H$201,"&gt;="&amp;A9,Data!$H$2:$H$201,"&lt;"&amp;EDATE(A9,1))</f>
        <v>3302.84</v>
      </c>
      <c r="D9" s="50">
        <f t="shared" si="1"/>
        <v>-0.13070331396911375</v>
      </c>
      <c r="E9" s="51" t="str">
        <f t="shared" si="2"/>
        <v>▼</v>
      </c>
    </row>
    <row r="10" spans="1:9" x14ac:dyDescent="0.3">
      <c r="A10" s="49">
        <f t="shared" si="0"/>
        <v>45536</v>
      </c>
      <c r="B10" s="38">
        <f>SUMIFS(Data!$E$2:$E$201,Data!$H$2:$H$201,"&gt;="&amp;A10,Data!$H$2:$H$201,"&lt;"&amp;EDATE(A10,1))</f>
        <v>20533.499999999996</v>
      </c>
      <c r="C10" s="38">
        <f>SUMIFS(Data!$I$2:$I$201,Data!$H$2:$H$201,"&gt;="&amp;A10,Data!$H$2:$H$201,"&lt;"&amp;EDATE(A10,1))</f>
        <v>7457.5199999999995</v>
      </c>
      <c r="D10" s="50">
        <f t="shared" si="1"/>
        <v>1.0346918755016496</v>
      </c>
      <c r="E10" s="51" t="str">
        <f t="shared" si="2"/>
        <v>▲</v>
      </c>
    </row>
    <row r="11" spans="1:9" x14ac:dyDescent="0.3">
      <c r="A11" s="49">
        <f t="shared" si="0"/>
        <v>45566</v>
      </c>
      <c r="B11" s="38">
        <f>SUMIFS(Data!$E$2:$E$201,Data!$H$2:$H$201,"&gt;="&amp;A11,Data!$H$2:$H$201,"&lt;"&amp;EDATE(A11,1))</f>
        <v>14215.240000000002</v>
      </c>
      <c r="C11" s="38">
        <f>SUMIFS(Data!$I$2:$I$201,Data!$H$2:$H$201,"&gt;="&amp;A11,Data!$H$2:$H$201,"&lt;"&amp;EDATE(A11,1))</f>
        <v>4861.7</v>
      </c>
      <c r="D11" s="50">
        <f t="shared" si="1"/>
        <v>-0.30770496992719193</v>
      </c>
      <c r="E11" s="51" t="str">
        <f t="shared" si="2"/>
        <v>▼</v>
      </c>
    </row>
    <row r="12" spans="1:9" x14ac:dyDescent="0.3">
      <c r="A12" s="49">
        <f t="shared" si="0"/>
        <v>45597</v>
      </c>
      <c r="B12" s="38">
        <f>SUMIFS(Data!$E$2:$E$201,Data!$H$2:$H$201,"&gt;="&amp;A12,Data!$H$2:$H$201,"&lt;"&amp;EDATE(A12,1))</f>
        <v>20135.030000000002</v>
      </c>
      <c r="C12" s="38">
        <f>SUMIFS(Data!$I$2:$I$201,Data!$H$2:$H$201,"&gt;="&amp;A12,Data!$H$2:$H$201,"&lt;"&amp;EDATE(A12,1))</f>
        <v>6814.8799999999992</v>
      </c>
      <c r="D12" s="50">
        <f t="shared" si="1"/>
        <v>0.4164396802305132</v>
      </c>
      <c r="E12" s="51" t="str">
        <f t="shared" si="2"/>
        <v>▲</v>
      </c>
    </row>
    <row r="13" spans="1:9" x14ac:dyDescent="0.3">
      <c r="A13" s="49">
        <f t="shared" si="0"/>
        <v>45627</v>
      </c>
      <c r="B13" s="38">
        <f>SUMIFS(Data!$E$2:$E$201,Data!$H$2:$H$201,"&gt;="&amp;A13,Data!$H$2:$H$201,"&lt;"&amp;EDATE(A13,1))</f>
        <v>11120.04</v>
      </c>
      <c r="C13" s="38">
        <f>SUMIFS(Data!$I$2:$I$201,Data!$H$2:$H$201,"&gt;="&amp;A13,Data!$H$2:$H$201,"&lt;"&amp;EDATE(A13,1))</f>
        <v>3549.99</v>
      </c>
      <c r="D13" s="50">
        <f t="shared" si="1"/>
        <v>-0.44772667336477773</v>
      </c>
      <c r="E13" s="51" t="str">
        <f t="shared" si="2"/>
        <v>▼</v>
      </c>
    </row>
    <row r="14" spans="1:9" x14ac:dyDescent="0.3">
      <c r="A14" s="49">
        <f t="shared" si="0"/>
        <v>45658</v>
      </c>
      <c r="B14" s="38">
        <f>SUMIFS(Data!$E$2:$E$201,Data!$H$2:$H$201,"&gt;="&amp;A14,Data!$H$2:$H$201,"&lt;"&amp;EDATE(A14,1))</f>
        <v>14914.650000000001</v>
      </c>
      <c r="C14" s="38">
        <f>SUMIFS(Data!$I$2:$I$201,Data!$H$2:$H$201,"&gt;="&amp;A14,Data!$H$2:$H$201,"&lt;"&amp;EDATE(A14,1))</f>
        <v>5763.4</v>
      </c>
      <c r="D14" s="50">
        <f t="shared" si="1"/>
        <v>0.34124067899036337</v>
      </c>
      <c r="E14" s="51" t="str">
        <f t="shared" si="2"/>
        <v>▲</v>
      </c>
    </row>
    <row r="15" spans="1:9" x14ac:dyDescent="0.3">
      <c r="A15" s="49">
        <f t="shared" si="0"/>
        <v>45689</v>
      </c>
      <c r="B15" s="38">
        <f>SUMIFS(Data!$E$2:$E$201,Data!$H$2:$H$201,"&gt;="&amp;A15,Data!$H$2:$H$201,"&lt;"&amp;EDATE(A15,1))</f>
        <v>14006.359999999999</v>
      </c>
      <c r="C15" s="38">
        <f>SUMIFS(Data!$I$2:$I$201,Data!$H$2:$H$201,"&gt;="&amp;A15,Data!$H$2:$H$201,"&lt;"&amp;EDATE(A15,1))</f>
        <v>5039.2299999999996</v>
      </c>
      <c r="D15" s="50">
        <f t="shared" si="1"/>
        <v>-6.0899183018039482E-2</v>
      </c>
      <c r="E15" s="51" t="str">
        <f t="shared" si="2"/>
        <v>▼</v>
      </c>
    </row>
    <row r="16" spans="1:9" x14ac:dyDescent="0.3">
      <c r="A16" s="49">
        <f t="shared" si="0"/>
        <v>45717</v>
      </c>
      <c r="B16" s="38">
        <f>SUMIFS(Data!$E$2:$E$201,Data!$H$2:$H$201,"&gt;="&amp;A16,Data!$H$2:$H$201,"&lt;"&amp;EDATE(A16,1))</f>
        <v>17655.219999999998</v>
      </c>
      <c r="C16" s="38">
        <f>SUMIFS(Data!$I$2:$I$201,Data!$H$2:$H$201,"&gt;="&amp;A16,Data!$H$2:$H$201,"&lt;"&amp;EDATE(A16,1))</f>
        <v>7071.39</v>
      </c>
      <c r="D16" s="50">
        <f t="shared" si="1"/>
        <v>0.26051450912299834</v>
      </c>
      <c r="E16" s="51" t="str">
        <f t="shared" si="2"/>
        <v>▲</v>
      </c>
    </row>
    <row r="17" spans="1:5" x14ac:dyDescent="0.3">
      <c r="A17" s="49">
        <f t="shared" si="0"/>
        <v>45748</v>
      </c>
      <c r="B17" s="38">
        <f>SUMIFS(Data!$E$2:$E$201,Data!$H$2:$H$201,"&gt;="&amp;A17,Data!$H$2:$H$201,"&lt;"&amp;EDATE(A17,1))</f>
        <v>3212.17</v>
      </c>
      <c r="C17" s="38">
        <f>SUMIFS(Data!$I$2:$I$201,Data!$H$2:$H$201,"&gt;="&amp;A17,Data!$H$2:$H$201,"&lt;"&amp;EDATE(A17,1))</f>
        <v>1398.85</v>
      </c>
      <c r="D17" s="50">
        <f t="shared" si="1"/>
        <v>-0.81806117397574196</v>
      </c>
      <c r="E17" s="51" t="str">
        <f t="shared" si="2"/>
        <v>▼</v>
      </c>
    </row>
  </sheetData>
  <mergeCells count="1">
    <mergeCell ref="A1:I1"/>
  </mergeCells>
  <conditionalFormatting sqref="E5:E17">
    <cfRule type="cellIs" dxfId="1" priority="2" operator="equal">
      <formula>"▲"</formula>
    </cfRule>
    <cfRule type="cellIs" dxfId="0" priority="3" operator="equal">
      <formula>"▼"</formula>
    </cfRule>
  </conditionalFormatting>
  <conditionalFormatting sqref="D6:D17">
    <cfRule type="iconSet" priority="4">
      <iconSet iconSet="3Arrows">
        <cfvo type="num" val="-1000"/>
        <cfvo type="num" val="0"/>
        <cfvo type="num" val="9.9999999999999995E-8"/>
      </iconSet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6"/>
  <sheetViews>
    <sheetView zoomScaleNormal="100" workbookViewId="0">
      <selection activeCell="F22" sqref="F22"/>
    </sheetView>
  </sheetViews>
  <sheetFormatPr defaultColWidth="8.6640625" defaultRowHeight="14.4" x14ac:dyDescent="0.3"/>
  <cols>
    <col min="1" max="1" width="26" customWidth="1"/>
    <col min="2" max="2" width="14" customWidth="1"/>
    <col min="3" max="3" width="10" customWidth="1"/>
    <col min="4" max="4" width="16" customWidth="1"/>
    <col min="5" max="6" width="14" customWidth="1"/>
    <col min="7" max="7" width="13" customWidth="1"/>
  </cols>
  <sheetData>
    <row r="1" spans="1:7" ht="17.399999999999999" x14ac:dyDescent="0.3">
      <c r="A1" s="35" t="s">
        <v>102</v>
      </c>
      <c r="B1" s="35"/>
      <c r="C1" s="35"/>
      <c r="D1" s="35"/>
      <c r="E1" s="35"/>
      <c r="F1" s="35"/>
      <c r="G1" s="35"/>
    </row>
    <row r="2" spans="1:7" x14ac:dyDescent="0.3">
      <c r="A2" s="1" t="s">
        <v>103</v>
      </c>
    </row>
    <row r="4" spans="1:7" x14ac:dyDescent="0.3">
      <c r="A4" s="13" t="s">
        <v>104</v>
      </c>
      <c r="C4" s="13">
        <f>COUNTIF(Customers!$H$5:$H$34,"High Value")</f>
        <v>8</v>
      </c>
    </row>
    <row r="5" spans="1:7" x14ac:dyDescent="0.3">
      <c r="A5" s="13" t="s">
        <v>105</v>
      </c>
      <c r="C5" s="16">
        <f>Customers!C3</f>
        <v>8300</v>
      </c>
    </row>
    <row r="7" spans="1:7" x14ac:dyDescent="0.3">
      <c r="A7" s="10" t="s">
        <v>99</v>
      </c>
      <c r="B7" s="10" t="s">
        <v>14</v>
      </c>
      <c r="C7" s="10" t="s">
        <v>97</v>
      </c>
      <c r="D7" s="10" t="s">
        <v>98</v>
      </c>
      <c r="E7" s="10" t="s">
        <v>2</v>
      </c>
      <c r="F7" s="10" t="s">
        <v>3</v>
      </c>
      <c r="G7" s="10" t="s">
        <v>101</v>
      </c>
    </row>
    <row r="8" spans="1:7" x14ac:dyDescent="0.3">
      <c r="A8" s="11">
        <v>1</v>
      </c>
      <c r="B8" s="11" t="str">
        <f>INDEX(Customers!$A$5:$A$34,MATCH($A8,Customers!$G$5:$G$34,0))</f>
        <v>CUST015</v>
      </c>
      <c r="C8" s="11">
        <f>INDEX(Customers!$B$5:$B$34,MATCH($A8,Customers!$G$5:$G$34,0))</f>
        <v>11</v>
      </c>
      <c r="D8" s="12">
        <f>INDEX(Customers!$C$5:$C$34,MATCH($A8,Customers!$G$5:$G$34,0))</f>
        <v>11611.060000000001</v>
      </c>
      <c r="E8" s="12">
        <f>INDEX(Customers!$D$5:$D$34,MATCH($A8,Customers!$G$5:$G$34,0))</f>
        <v>4201.59</v>
      </c>
      <c r="F8" s="15">
        <f>INDEX(Customers!$E$5:$E$34,MATCH($A8,Customers!$G$5:$G$34,0))</f>
        <v>0.36186101871835991</v>
      </c>
      <c r="G8" s="11" t="str">
        <f>INDEX(Customers!$H$5:$H$34,MATCH($A8,Customers!$G$5:$G$34,0))</f>
        <v>High Value</v>
      </c>
    </row>
    <row r="9" spans="1:7" x14ac:dyDescent="0.3">
      <c r="A9" s="11">
        <v>2</v>
      </c>
      <c r="B9" s="11" t="str">
        <f>INDEX(Customers!$A$5:$A$34,MATCH($A9,Customers!$G$5:$G$34,0))</f>
        <v>CUST028</v>
      </c>
      <c r="C9" s="11">
        <f>INDEX(Customers!$B$5:$B$34,MATCH($A9,Customers!$G$5:$G$34,0))</f>
        <v>12</v>
      </c>
      <c r="D9" s="12">
        <f>INDEX(Customers!$C$5:$C$34,MATCH($A9,Customers!$G$5:$G$34,0))</f>
        <v>10293.870000000001</v>
      </c>
      <c r="E9" s="12">
        <f>INDEX(Customers!$D$5:$D$34,MATCH($A9,Customers!$G$5:$G$34,0))</f>
        <v>3541.02</v>
      </c>
      <c r="F9" s="15">
        <f>INDEX(Customers!$E$5:$E$34,MATCH($A9,Customers!$G$5:$G$34,0))</f>
        <v>0.34399307549055891</v>
      </c>
      <c r="G9" s="11" t="str">
        <f>INDEX(Customers!$H$5:$H$34,MATCH($A9,Customers!$G$5:$G$34,0))</f>
        <v>High Value</v>
      </c>
    </row>
    <row r="10" spans="1:7" x14ac:dyDescent="0.3">
      <c r="A10" s="11">
        <v>3</v>
      </c>
      <c r="B10" s="11" t="str">
        <f>INDEX(Customers!$A$5:$A$34,MATCH($A10,Customers!$G$5:$G$34,0))</f>
        <v>CUST007</v>
      </c>
      <c r="C10" s="11">
        <f>INDEX(Customers!$B$5:$B$34,MATCH($A10,Customers!$G$5:$G$34,0))</f>
        <v>10</v>
      </c>
      <c r="D10" s="12">
        <f>INDEX(Customers!$C$5:$C$34,MATCH($A10,Customers!$G$5:$G$34,0))</f>
        <v>9941.8799999999992</v>
      </c>
      <c r="E10" s="12">
        <f>INDEX(Customers!$D$5:$D$34,MATCH($A10,Customers!$G$5:$G$34,0))</f>
        <v>3936.2599999999998</v>
      </c>
      <c r="F10" s="15">
        <f>INDEX(Customers!$E$5:$E$34,MATCH($A10,Customers!$G$5:$G$34,0))</f>
        <v>0.39592712847067157</v>
      </c>
      <c r="G10" s="11" t="str">
        <f>INDEX(Customers!$H$5:$H$34,MATCH($A10,Customers!$G$5:$G$34,0))</f>
        <v>High Value</v>
      </c>
    </row>
    <row r="11" spans="1:7" x14ac:dyDescent="0.3">
      <c r="A11" s="11">
        <v>4</v>
      </c>
      <c r="B11" s="11" t="str">
        <f>INDEX(Customers!$A$5:$A$34,MATCH($A11,Customers!$G$5:$G$34,0))</f>
        <v>CUST008</v>
      </c>
      <c r="C11" s="11">
        <f>INDEX(Customers!$B$5:$B$34,MATCH($A11,Customers!$G$5:$G$34,0))</f>
        <v>10</v>
      </c>
      <c r="D11" s="12">
        <f>INDEX(Customers!$C$5:$C$34,MATCH($A11,Customers!$G$5:$G$34,0))</f>
        <v>9760.7999999999993</v>
      </c>
      <c r="E11" s="12">
        <f>INDEX(Customers!$D$5:$D$34,MATCH($A11,Customers!$G$5:$G$34,0))</f>
        <v>3442.48</v>
      </c>
      <c r="F11" s="15">
        <f>INDEX(Customers!$E$5:$E$34,MATCH($A11,Customers!$G$5:$G$34,0))</f>
        <v>0.35268420621260554</v>
      </c>
      <c r="G11" s="11" t="str">
        <f>INDEX(Customers!$H$5:$H$34,MATCH($A11,Customers!$G$5:$G$34,0))</f>
        <v>High Value</v>
      </c>
    </row>
    <row r="12" spans="1:7" x14ac:dyDescent="0.3">
      <c r="A12" s="11">
        <v>5</v>
      </c>
      <c r="B12" s="11" t="str">
        <f>INDEX(Customers!$A$5:$A$34,MATCH($A12,Customers!$G$5:$G$34,0))</f>
        <v>CUST026</v>
      </c>
      <c r="C12" s="11">
        <f>INDEX(Customers!$B$5:$B$34,MATCH($A12,Customers!$G$5:$G$34,0))</f>
        <v>9</v>
      </c>
      <c r="D12" s="12">
        <f>INDEX(Customers!$C$5:$C$34,MATCH($A12,Customers!$G$5:$G$34,0))</f>
        <v>9371.81</v>
      </c>
      <c r="E12" s="12">
        <f>INDEX(Customers!$D$5:$D$34,MATCH($A12,Customers!$G$5:$G$34,0))</f>
        <v>2922.0199999999995</v>
      </c>
      <c r="F12" s="15">
        <f>INDEX(Customers!$E$5:$E$34,MATCH($A12,Customers!$G$5:$G$34,0))</f>
        <v>0.31178822447318072</v>
      </c>
      <c r="G12" s="11" t="str">
        <f>INDEX(Customers!$H$5:$H$34,MATCH($A12,Customers!$G$5:$G$34,0))</f>
        <v>High Value</v>
      </c>
    </row>
    <row r="13" spans="1:7" x14ac:dyDescent="0.3">
      <c r="A13" s="11">
        <v>6</v>
      </c>
      <c r="B13" s="11" t="str">
        <f>INDEX(Customers!$A$5:$A$34,MATCH($A13,Customers!$G$5:$G$34,0))</f>
        <v>CUST021</v>
      </c>
      <c r="C13" s="11">
        <f>INDEX(Customers!$B$5:$B$34,MATCH($A13,Customers!$G$5:$G$34,0))</f>
        <v>8</v>
      </c>
      <c r="D13" s="12">
        <f>INDEX(Customers!$C$5:$C$34,MATCH($A13,Customers!$G$5:$G$34,0))</f>
        <v>8740.18</v>
      </c>
      <c r="E13" s="12">
        <f>INDEX(Customers!$D$5:$D$34,MATCH($A13,Customers!$G$5:$G$34,0))</f>
        <v>2848.62</v>
      </c>
      <c r="F13" s="15">
        <f>INDEX(Customers!$E$5:$E$34,MATCH($A13,Customers!$G$5:$G$34,0))</f>
        <v>0.32592234942529785</v>
      </c>
      <c r="G13" s="11" t="str">
        <f>INDEX(Customers!$H$5:$H$34,MATCH($A13,Customers!$G$5:$G$34,0))</f>
        <v>High Value</v>
      </c>
    </row>
    <row r="14" spans="1:7" x14ac:dyDescent="0.3">
      <c r="A14" s="11">
        <v>7</v>
      </c>
      <c r="B14" s="11" t="str">
        <f>INDEX(Customers!$A$5:$A$34,MATCH($A14,Customers!$G$5:$G$34,0))</f>
        <v>CUST003</v>
      </c>
      <c r="C14" s="11">
        <f>INDEX(Customers!$B$5:$B$34,MATCH($A14,Customers!$G$5:$G$34,0))</f>
        <v>9</v>
      </c>
      <c r="D14" s="12">
        <f>INDEX(Customers!$C$5:$C$34,MATCH($A14,Customers!$G$5:$G$34,0))</f>
        <v>8490.18</v>
      </c>
      <c r="E14" s="12">
        <f>INDEX(Customers!$D$5:$D$34,MATCH($A14,Customers!$G$5:$G$34,0))</f>
        <v>2652.75</v>
      </c>
      <c r="F14" s="15">
        <f>INDEX(Customers!$E$5:$E$34,MATCH($A14,Customers!$G$5:$G$34,0))</f>
        <v>0.31244920602390053</v>
      </c>
      <c r="G14" s="11" t="str">
        <f>INDEX(Customers!$H$5:$H$34,MATCH($A14,Customers!$G$5:$G$34,0))</f>
        <v>High Value</v>
      </c>
    </row>
    <row r="15" spans="1:7" x14ac:dyDescent="0.3">
      <c r="A15" s="11">
        <v>8</v>
      </c>
      <c r="B15" s="11" t="str">
        <f>INDEX(Customers!$A$5:$A$34,MATCH($A15,Customers!$G$5:$G$34,0))</f>
        <v>CUST012</v>
      </c>
      <c r="C15" s="11">
        <f>INDEX(Customers!$B$5:$B$34,MATCH($A15,Customers!$G$5:$G$34,0))</f>
        <v>9</v>
      </c>
      <c r="D15" s="12">
        <f>INDEX(Customers!$C$5:$C$34,MATCH($A15,Customers!$G$5:$G$34,0))</f>
        <v>8339</v>
      </c>
      <c r="E15" s="12">
        <f>INDEX(Customers!$D$5:$D$34,MATCH($A15,Customers!$G$5:$G$34,0))</f>
        <v>2988.7100000000005</v>
      </c>
      <c r="F15" s="15">
        <f>INDEX(Customers!$E$5:$E$34,MATCH($A15,Customers!$G$5:$G$34,0))</f>
        <v>0.35840148698884766</v>
      </c>
      <c r="G15" s="11" t="str">
        <f>INDEX(Customers!$H$5:$H$34,MATCH($A15,Customers!$G$5:$G$34,0))</f>
        <v>High Value</v>
      </c>
    </row>
    <row r="16" spans="1:7" x14ac:dyDescent="0.3">
      <c r="A16" s="11">
        <v>9</v>
      </c>
      <c r="B16" s="11" t="str">
        <f>INDEX(Customers!$A$5:$A$34,MATCH($A16,Customers!$G$5:$G$34,0))</f>
        <v>CUST030</v>
      </c>
      <c r="C16" s="11">
        <f>INDEX(Customers!$B$5:$B$34,MATCH($A16,Customers!$G$5:$G$34,0))</f>
        <v>9</v>
      </c>
      <c r="D16" s="12">
        <f>INDEX(Customers!$C$5:$C$34,MATCH($A16,Customers!$G$5:$G$34,0))</f>
        <v>7928.71</v>
      </c>
      <c r="E16" s="12">
        <f>INDEX(Customers!$D$5:$D$34,MATCH($A16,Customers!$G$5:$G$34,0))</f>
        <v>2965.4799999999996</v>
      </c>
      <c r="F16" s="15">
        <f>INDEX(Customers!$E$5:$E$34,MATCH($A16,Customers!$G$5:$G$34,0))</f>
        <v>0.37401796761389933</v>
      </c>
      <c r="G16" s="11" t="str">
        <f>INDEX(Customers!$H$5:$H$34,MATCH($A16,Customers!$G$5:$G$34,0))</f>
        <v>Standard</v>
      </c>
    </row>
    <row r="17" spans="1:7" x14ac:dyDescent="0.3">
      <c r="A17" s="11">
        <v>10</v>
      </c>
      <c r="B17" s="11" t="str">
        <f>INDEX(Customers!$A$5:$A$34,MATCH($A17,Customers!$G$5:$G$34,0))</f>
        <v>CUST004</v>
      </c>
      <c r="C17" s="11">
        <f>INDEX(Customers!$B$5:$B$34,MATCH($A17,Customers!$G$5:$G$34,0))</f>
        <v>7</v>
      </c>
      <c r="D17" s="12">
        <f>INDEX(Customers!$C$5:$C$34,MATCH($A17,Customers!$G$5:$G$34,0))</f>
        <v>7813.59</v>
      </c>
      <c r="E17" s="12">
        <f>INDEX(Customers!$D$5:$D$34,MATCH($A17,Customers!$G$5:$G$34,0))</f>
        <v>3211.82</v>
      </c>
      <c r="F17" s="15">
        <f>INDEX(Customers!$E$5:$E$34,MATCH($A17,Customers!$G$5:$G$34,0))</f>
        <v>0.41105560952135961</v>
      </c>
      <c r="G17" s="11" t="str">
        <f>INDEX(Customers!$H$5:$H$34,MATCH($A17,Customers!$G$5:$G$34,0))</f>
        <v>Standard</v>
      </c>
    </row>
    <row r="20" spans="1:7" x14ac:dyDescent="0.3">
      <c r="A20" s="17" t="s">
        <v>106</v>
      </c>
    </row>
    <row r="21" spans="1:7" x14ac:dyDescent="0.3">
      <c r="A21" s="13" t="s">
        <v>107</v>
      </c>
      <c r="B21" s="18" t="s">
        <v>45</v>
      </c>
    </row>
    <row r="22" spans="1:7" x14ac:dyDescent="0.3">
      <c r="A22" s="13" t="s">
        <v>108</v>
      </c>
      <c r="B22" s="19">
        <f>INDEX(Customers!$B$5:$B$34,MATCH($B$21,Customers!$A$5:$A$34,0))</f>
        <v>7</v>
      </c>
    </row>
    <row r="23" spans="1:7" x14ac:dyDescent="0.3">
      <c r="A23" s="13" t="s">
        <v>109</v>
      </c>
      <c r="B23" s="12">
        <f>INDEX(Customers!$C$5:$C$34,MATCH($B$21,Customers!$A$5:$A$34,0))</f>
        <v>6549.55</v>
      </c>
    </row>
    <row r="24" spans="1:7" x14ac:dyDescent="0.3">
      <c r="A24" s="13" t="s">
        <v>110</v>
      </c>
      <c r="B24" s="12">
        <f>INDEX(Customers!$D$5:$D$34,MATCH($B$21,Customers!$A$5:$A$34,0))</f>
        <v>1868.7700000000004</v>
      </c>
    </row>
    <row r="25" spans="1:7" x14ac:dyDescent="0.3">
      <c r="A25" s="13" t="s">
        <v>111</v>
      </c>
      <c r="B25" s="19">
        <f>INDEX(Customers!$F$5:$F$34,MATCH($B$21,Customers!$A$5:$A$34,0))</f>
        <v>15</v>
      </c>
    </row>
    <row r="26" spans="1:7" x14ac:dyDescent="0.3">
      <c r="A26" s="13" t="s">
        <v>112</v>
      </c>
      <c r="B26" s="11" t="str">
        <f>INDEX(Customers!$H$5:$H$34,MATCH($B$21,Customers!$A$5:$A$34,0))</f>
        <v>Standard</v>
      </c>
    </row>
  </sheetData>
  <mergeCells count="1">
    <mergeCell ref="A1:G1"/>
  </mergeCells>
  <conditionalFormatting sqref="A8:G17">
    <cfRule type="expression" dxfId="2" priority="2">
      <formula>$G8="High Value"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0000000}">
          <x14:formula1>
            <xm:f>Customers!$A$5:$A$34</xm:f>
          </x14:formula1>
          <x14:formula2>
            <xm:f>0</xm:f>
          </x14:formula2>
          <xm:sqref>B21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9"/>
  <sheetViews>
    <sheetView zoomScaleNormal="100" workbookViewId="0">
      <selection activeCell="H14" sqref="H14"/>
    </sheetView>
  </sheetViews>
  <sheetFormatPr defaultColWidth="8.6640625" defaultRowHeight="14.4" x14ac:dyDescent="0.3"/>
  <cols>
    <col min="1" max="1" width="14" customWidth="1"/>
    <col min="2" max="3" width="12" customWidth="1"/>
    <col min="4" max="4" width="13" customWidth="1"/>
    <col min="5" max="5" width="12" customWidth="1"/>
    <col min="6" max="6" width="16" customWidth="1"/>
    <col min="7" max="7" width="14" customWidth="1"/>
  </cols>
  <sheetData>
    <row r="1" spans="1:7" ht="17.399999999999999" x14ac:dyDescent="0.3">
      <c r="A1" s="35" t="s">
        <v>185</v>
      </c>
      <c r="B1" s="35"/>
      <c r="C1" s="35"/>
      <c r="D1" s="35"/>
      <c r="E1" s="35"/>
      <c r="F1" s="35"/>
      <c r="G1" s="35"/>
    </row>
    <row r="2" spans="1:7" x14ac:dyDescent="0.3">
      <c r="A2" s="1" t="s">
        <v>186</v>
      </c>
    </row>
    <row r="3" spans="1:7" x14ac:dyDescent="0.3">
      <c r="A3" s="17" t="s">
        <v>1</v>
      </c>
    </row>
    <row r="4" spans="1:7" x14ac:dyDescent="0.3">
      <c r="A4" s="10" t="s">
        <v>16</v>
      </c>
      <c r="B4" s="10" t="s">
        <v>29</v>
      </c>
      <c r="C4" s="10" t="s">
        <v>32</v>
      </c>
      <c r="D4" s="10" t="s">
        <v>38</v>
      </c>
      <c r="E4" s="10" t="s">
        <v>44</v>
      </c>
      <c r="F4" s="10" t="s">
        <v>56</v>
      </c>
      <c r="G4" s="10" t="s">
        <v>187</v>
      </c>
    </row>
    <row r="5" spans="1:7" x14ac:dyDescent="0.3">
      <c r="A5" s="32" t="s">
        <v>51</v>
      </c>
      <c r="B5" s="20">
        <f>SUMIFS(Data!$E$2:$E$201,Data!$C$2:$C$201,$A5,Data!$D$2:$D$201,B$4)</f>
        <v>11297.150000000001</v>
      </c>
      <c r="C5" s="20">
        <f>SUMIFS(Data!$E$2:$E$201,Data!$C$2:$C$201,$A5,Data!$D$2:$D$201,C$4)</f>
        <v>12200.26</v>
      </c>
      <c r="D5" s="20">
        <f>SUMIFS(Data!$E$2:$E$201,Data!$C$2:$C$201,$A5,Data!$D$2:$D$201,D$4)</f>
        <v>6621.24</v>
      </c>
      <c r="E5" s="20">
        <f>SUMIFS(Data!$E$2:$E$201,Data!$C$2:$C$201,$A5,Data!$D$2:$D$201,E$4)</f>
        <v>4876.96</v>
      </c>
      <c r="F5" s="20">
        <f>SUMIFS(Data!$E$2:$E$201,Data!$C$2:$C$201,$A5,Data!$D$2:$D$201,F$4)</f>
        <v>8472.7199999999993</v>
      </c>
      <c r="G5" s="32">
        <f>SUM(B5:F5)</f>
        <v>43468.33</v>
      </c>
    </row>
    <row r="6" spans="1:7" x14ac:dyDescent="0.3">
      <c r="A6" s="32" t="s">
        <v>35</v>
      </c>
      <c r="B6" s="20">
        <f>SUMIFS(Data!$E$2:$E$201,Data!$C$2:$C$201,$A6,Data!$D$2:$D$201,B$4)</f>
        <v>11389.090000000002</v>
      </c>
      <c r="C6" s="20">
        <f>SUMIFS(Data!$E$2:$E$201,Data!$C$2:$C$201,$A6,Data!$D$2:$D$201,C$4)</f>
        <v>2401.4499999999998</v>
      </c>
      <c r="D6" s="20">
        <f>SUMIFS(Data!$E$2:$E$201,Data!$C$2:$C$201,$A6,Data!$D$2:$D$201,D$4)</f>
        <v>2869.54</v>
      </c>
      <c r="E6" s="20">
        <f>SUMIFS(Data!$E$2:$E$201,Data!$C$2:$C$201,$A6,Data!$D$2:$D$201,E$4)</f>
        <v>7592.3399999999992</v>
      </c>
      <c r="F6" s="20">
        <f>SUMIFS(Data!$E$2:$E$201,Data!$C$2:$C$201,$A6,Data!$D$2:$D$201,F$4)</f>
        <v>8189.2200000000012</v>
      </c>
      <c r="G6" s="32">
        <f>SUM(B6:F6)</f>
        <v>32441.640000000003</v>
      </c>
    </row>
    <row r="7" spans="1:7" x14ac:dyDescent="0.3">
      <c r="A7" s="32" t="s">
        <v>41</v>
      </c>
      <c r="B7" s="20">
        <f>SUMIFS(Data!$E$2:$E$201,Data!$C$2:$C$201,$A7,Data!$D$2:$D$201,B$4)</f>
        <v>8037.0100000000011</v>
      </c>
      <c r="C7" s="20">
        <f>SUMIFS(Data!$E$2:$E$201,Data!$C$2:$C$201,$A7,Data!$D$2:$D$201,C$4)</f>
        <v>8422.82</v>
      </c>
      <c r="D7" s="20">
        <f>SUMIFS(Data!$E$2:$E$201,Data!$C$2:$C$201,$A7,Data!$D$2:$D$201,D$4)</f>
        <v>8191.7099999999991</v>
      </c>
      <c r="E7" s="20">
        <f>SUMIFS(Data!$E$2:$E$201,Data!$C$2:$C$201,$A7,Data!$D$2:$D$201,E$4)</f>
        <v>6978.08</v>
      </c>
      <c r="F7" s="20">
        <f>SUMIFS(Data!$E$2:$E$201,Data!$C$2:$C$201,$A7,Data!$D$2:$D$201,F$4)</f>
        <v>3345.8</v>
      </c>
      <c r="G7" s="32">
        <f>SUM(B7:F7)</f>
        <v>34975.420000000006</v>
      </c>
    </row>
    <row r="8" spans="1:7" x14ac:dyDescent="0.3">
      <c r="A8" s="32" t="s">
        <v>37</v>
      </c>
      <c r="B8" s="20">
        <f>SUMIFS(Data!$E$2:$E$201,Data!$C$2:$C$201,$A8,Data!$D$2:$D$201,B$4)</f>
        <v>9588.0400000000009</v>
      </c>
      <c r="C8" s="20">
        <f>SUMIFS(Data!$E$2:$E$201,Data!$C$2:$C$201,$A8,Data!$D$2:$D$201,C$4)</f>
        <v>8393.630000000001</v>
      </c>
      <c r="D8" s="20">
        <f>SUMIFS(Data!$E$2:$E$201,Data!$C$2:$C$201,$A8,Data!$D$2:$D$201,D$4)</f>
        <v>11989.070000000003</v>
      </c>
      <c r="E8" s="20">
        <f>SUMIFS(Data!$E$2:$E$201,Data!$C$2:$C$201,$A8,Data!$D$2:$D$201,E$4)</f>
        <v>7982.73</v>
      </c>
      <c r="F8" s="20">
        <f>SUMIFS(Data!$E$2:$E$201,Data!$C$2:$C$201,$A8,Data!$D$2:$D$201,F$4)</f>
        <v>2295.3199999999997</v>
      </c>
      <c r="G8" s="32">
        <f>SUM(B8:F8)</f>
        <v>40248.79</v>
      </c>
    </row>
    <row r="9" spans="1:7" x14ac:dyDescent="0.3">
      <c r="A9" s="32" t="s">
        <v>28</v>
      </c>
      <c r="B9" s="20">
        <f>SUMIFS(Data!$E$2:$E$201,Data!$C$2:$C$201,$A9,Data!$D$2:$D$201,B$4)</f>
        <v>6691.17</v>
      </c>
      <c r="C9" s="20">
        <f>SUMIFS(Data!$E$2:$E$201,Data!$C$2:$C$201,$A9,Data!$D$2:$D$201,C$4)</f>
        <v>10509.429999999998</v>
      </c>
      <c r="D9" s="20">
        <f>SUMIFS(Data!$E$2:$E$201,Data!$C$2:$C$201,$A9,Data!$D$2:$D$201,D$4)</f>
        <v>11372.44</v>
      </c>
      <c r="E9" s="20">
        <f>SUMIFS(Data!$E$2:$E$201,Data!$C$2:$C$201,$A9,Data!$D$2:$D$201,E$4)</f>
        <v>9182.7800000000007</v>
      </c>
      <c r="F9" s="20">
        <f>SUMIFS(Data!$E$2:$E$201,Data!$C$2:$C$201,$A9,Data!$D$2:$D$201,F$4)</f>
        <v>6327.76</v>
      </c>
      <c r="G9" s="32">
        <f>SUM(B9:F9)</f>
        <v>44083.58</v>
      </c>
    </row>
    <row r="10" spans="1:7" x14ac:dyDescent="0.3">
      <c r="A10" s="33" t="s">
        <v>187</v>
      </c>
      <c r="B10" s="33">
        <f t="shared" ref="B10:G10" si="0">SUM(B5:B9)</f>
        <v>47002.460000000006</v>
      </c>
      <c r="C10" s="33">
        <f t="shared" si="0"/>
        <v>41927.589999999997</v>
      </c>
      <c r="D10" s="33">
        <f t="shared" si="0"/>
        <v>41044</v>
      </c>
      <c r="E10" s="33">
        <f t="shared" si="0"/>
        <v>36612.89</v>
      </c>
      <c r="F10" s="33">
        <f t="shared" si="0"/>
        <v>28630.82</v>
      </c>
      <c r="G10" s="33">
        <f t="shared" si="0"/>
        <v>195217.76</v>
      </c>
    </row>
    <row r="12" spans="1:7" x14ac:dyDescent="0.3">
      <c r="A12" s="17" t="s">
        <v>2</v>
      </c>
    </row>
    <row r="13" spans="1:7" x14ac:dyDescent="0.3">
      <c r="A13" s="10" t="s">
        <v>16</v>
      </c>
      <c r="B13" s="10" t="s">
        <v>29</v>
      </c>
      <c r="C13" s="10" t="s">
        <v>32</v>
      </c>
      <c r="D13" s="10" t="s">
        <v>38</v>
      </c>
      <c r="E13" s="10" t="s">
        <v>44</v>
      </c>
      <c r="F13" s="10" t="s">
        <v>56</v>
      </c>
      <c r="G13" s="10" t="s">
        <v>187</v>
      </c>
    </row>
    <row r="14" spans="1:7" x14ac:dyDescent="0.3">
      <c r="A14" s="32" t="s">
        <v>51</v>
      </c>
      <c r="B14" s="20">
        <f>SUMIFS(Data!$I$2:$I$201,Data!$C$2:$C$201,$A14,Data!$D$2:$D$201,B$13)</f>
        <v>4201.2700000000004</v>
      </c>
      <c r="C14" s="20">
        <f>SUMIFS(Data!$I$2:$I$201,Data!$C$2:$C$201,$A14,Data!$D$2:$D$201,C$13)</f>
        <v>5395.6</v>
      </c>
      <c r="D14" s="20">
        <f>SUMIFS(Data!$I$2:$I$201,Data!$C$2:$C$201,$A14,Data!$D$2:$D$201,D$13)</f>
        <v>1515.0399999999997</v>
      </c>
      <c r="E14" s="20">
        <f>SUMIFS(Data!$I$2:$I$201,Data!$C$2:$C$201,$A14,Data!$D$2:$D$201,E$13)</f>
        <v>1566.46</v>
      </c>
      <c r="F14" s="20">
        <f>SUMIFS(Data!$I$2:$I$201,Data!$C$2:$C$201,$A14,Data!$D$2:$D$201,F$13)</f>
        <v>3390.03</v>
      </c>
      <c r="G14" s="32">
        <f>SUM(B14:F14)</f>
        <v>16068.4</v>
      </c>
    </row>
    <row r="15" spans="1:7" x14ac:dyDescent="0.3">
      <c r="A15" s="32" t="s">
        <v>35</v>
      </c>
      <c r="B15" s="20">
        <f>SUMIFS(Data!$I$2:$I$201,Data!$C$2:$C$201,$A15,Data!$D$2:$D$201,B$13)</f>
        <v>4212.63</v>
      </c>
      <c r="C15" s="20">
        <f>SUMIFS(Data!$I$2:$I$201,Data!$C$2:$C$201,$A15,Data!$D$2:$D$201,C$13)</f>
        <v>1025.1500000000001</v>
      </c>
      <c r="D15" s="20">
        <f>SUMIFS(Data!$I$2:$I$201,Data!$C$2:$C$201,$A15,Data!$D$2:$D$201,D$13)</f>
        <v>662.68</v>
      </c>
      <c r="E15" s="20">
        <f>SUMIFS(Data!$I$2:$I$201,Data!$C$2:$C$201,$A15,Data!$D$2:$D$201,E$13)</f>
        <v>2428.08</v>
      </c>
      <c r="F15" s="20">
        <f>SUMIFS(Data!$I$2:$I$201,Data!$C$2:$C$201,$A15,Data!$D$2:$D$201,F$13)</f>
        <v>3310.05</v>
      </c>
      <c r="G15" s="32">
        <f>SUM(B15:F15)</f>
        <v>11638.59</v>
      </c>
    </row>
    <row r="16" spans="1:7" x14ac:dyDescent="0.3">
      <c r="A16" s="32" t="s">
        <v>41</v>
      </c>
      <c r="B16" s="20">
        <f>SUMIFS(Data!$I$2:$I$201,Data!$C$2:$C$201,$A16,Data!$D$2:$D$201,B$13)</f>
        <v>2778.4399999999996</v>
      </c>
      <c r="C16" s="20">
        <f>SUMIFS(Data!$I$2:$I$201,Data!$C$2:$C$201,$A16,Data!$D$2:$D$201,C$13)</f>
        <v>3691.09</v>
      </c>
      <c r="D16" s="20">
        <f>SUMIFS(Data!$I$2:$I$201,Data!$C$2:$C$201,$A16,Data!$D$2:$D$201,D$13)</f>
        <v>1783.05</v>
      </c>
      <c r="E16" s="20">
        <f>SUMIFS(Data!$I$2:$I$201,Data!$C$2:$C$201,$A16,Data!$D$2:$D$201,E$13)</f>
        <v>2217.7199999999998</v>
      </c>
      <c r="F16" s="20">
        <f>SUMIFS(Data!$I$2:$I$201,Data!$C$2:$C$201,$A16,Data!$D$2:$D$201,F$13)</f>
        <v>1431.98</v>
      </c>
      <c r="G16" s="32">
        <f>SUM(B16:F16)</f>
        <v>11902.279999999999</v>
      </c>
    </row>
    <row r="17" spans="1:7" x14ac:dyDescent="0.3">
      <c r="A17" s="32" t="s">
        <v>37</v>
      </c>
      <c r="B17" s="20">
        <f>SUMIFS(Data!$I$2:$I$201,Data!$C$2:$C$201,$A17,Data!$D$2:$D$201,B$13)</f>
        <v>3416.81</v>
      </c>
      <c r="C17" s="20">
        <f>SUMIFS(Data!$I$2:$I$201,Data!$C$2:$C$201,$A17,Data!$D$2:$D$201,C$13)</f>
        <v>3944.2100000000005</v>
      </c>
      <c r="D17" s="20">
        <f>SUMIFS(Data!$I$2:$I$201,Data!$C$2:$C$201,$A17,Data!$D$2:$D$201,D$13)</f>
        <v>2783.4400000000005</v>
      </c>
      <c r="E17" s="20">
        <f>SUMIFS(Data!$I$2:$I$201,Data!$C$2:$C$201,$A17,Data!$D$2:$D$201,E$13)</f>
        <v>2540.36</v>
      </c>
      <c r="F17" s="20">
        <f>SUMIFS(Data!$I$2:$I$201,Data!$C$2:$C$201,$A17,Data!$D$2:$D$201,F$13)</f>
        <v>1007.09</v>
      </c>
      <c r="G17" s="32">
        <f>SUM(B17:F17)</f>
        <v>13691.910000000002</v>
      </c>
    </row>
    <row r="18" spans="1:7" x14ac:dyDescent="0.3">
      <c r="A18" s="32" t="s">
        <v>28</v>
      </c>
      <c r="B18" s="20">
        <f>SUMIFS(Data!$I$2:$I$201,Data!$C$2:$C$201,$A18,Data!$D$2:$D$201,B$13)</f>
        <v>2292.48</v>
      </c>
      <c r="C18" s="20">
        <f>SUMIFS(Data!$I$2:$I$201,Data!$C$2:$C$201,$A18,Data!$D$2:$D$201,C$13)</f>
        <v>4728.4400000000005</v>
      </c>
      <c r="D18" s="20">
        <f>SUMIFS(Data!$I$2:$I$201,Data!$C$2:$C$201,$A18,Data!$D$2:$D$201,D$13)</f>
        <v>2437.94</v>
      </c>
      <c r="E18" s="20">
        <f>SUMIFS(Data!$I$2:$I$201,Data!$C$2:$C$201,$A18,Data!$D$2:$D$201,E$13)</f>
        <v>2826.5199999999995</v>
      </c>
      <c r="F18" s="20">
        <f>SUMIFS(Data!$I$2:$I$201,Data!$C$2:$C$201,$A18,Data!$D$2:$D$201,F$13)</f>
        <v>2700.45</v>
      </c>
      <c r="G18" s="32">
        <f>SUM(B18:F18)</f>
        <v>14985.830000000002</v>
      </c>
    </row>
    <row r="19" spans="1:7" x14ac:dyDescent="0.3">
      <c r="A19" s="33" t="s">
        <v>187</v>
      </c>
      <c r="B19" s="33">
        <f t="shared" ref="B19:G19" si="1">SUM(B14:B18)</f>
        <v>16901.63</v>
      </c>
      <c r="C19" s="33">
        <f t="shared" si="1"/>
        <v>18784.490000000002</v>
      </c>
      <c r="D19" s="33">
        <f t="shared" si="1"/>
        <v>9182.15</v>
      </c>
      <c r="E19" s="33">
        <f t="shared" si="1"/>
        <v>11579.14</v>
      </c>
      <c r="F19" s="33">
        <f t="shared" si="1"/>
        <v>11839.599999999999</v>
      </c>
      <c r="G19" s="33">
        <f t="shared" si="1"/>
        <v>68287.010000000009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showGridLines="0" topLeftCell="A25" zoomScaleNormal="100" workbookViewId="0">
      <selection activeCell="H43" sqref="H43"/>
    </sheetView>
  </sheetViews>
  <sheetFormatPr defaultColWidth="8.6640625" defaultRowHeight="14.4" x14ac:dyDescent="0.3"/>
  <cols>
    <col min="1" max="6" width="22" customWidth="1"/>
  </cols>
  <sheetData>
    <row r="1" spans="1:6" ht="22.8" x14ac:dyDescent="0.4">
      <c r="A1" s="34" t="s">
        <v>0</v>
      </c>
      <c r="B1" s="34"/>
      <c r="C1" s="34"/>
      <c r="D1" s="34"/>
      <c r="E1" s="34"/>
      <c r="F1" s="34"/>
    </row>
    <row r="3" spans="1:6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ht="30" customHeight="1" x14ac:dyDescent="0.3">
      <c r="A4" s="3">
        <f>SUM(Data!$E$2:$E$201)</f>
        <v>195217.75999999992</v>
      </c>
      <c r="B4" s="3">
        <f>SUM(Data!$I$2:$I$201)</f>
        <v>68287.010000000009</v>
      </c>
      <c r="C4" s="4">
        <f>SUM(Data!$I$2:$I$201)/SUM(Data!$E$2:$E$201)</f>
        <v>0.34979916786259629</v>
      </c>
      <c r="D4" s="4">
        <f>AVERAGE(Data!$G$2:$G$201)</f>
        <v>9.7250000000000003E-2</v>
      </c>
      <c r="E4" s="5">
        <f>COUNTA(Customers!$A$5:$A$34)</f>
        <v>30</v>
      </c>
      <c r="F4" s="5">
        <f>'High Value'!C4</f>
        <v>8</v>
      </c>
    </row>
    <row r="6" spans="1:6" x14ac:dyDescent="0.3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</row>
    <row r="7" spans="1:6" ht="30" customHeight="1" x14ac:dyDescent="0.3">
      <c r="A7" s="6" t="str">
        <f>INDEX(Customers!$A$5:$A$34,MATCH(1,Customers!$G$5:$G$34,0))</f>
        <v>CUST015</v>
      </c>
      <c r="B7" s="6" t="str">
        <f>INDEX(Pivot!$A$5:$A$9,MATCH(MAX(Pivot!$G$5:$G$9),Pivot!$G$5:$G$9,0))</f>
        <v>West</v>
      </c>
      <c r="C7" s="6" t="str">
        <f>INDEX(Pivot!$B$4:$F$4,MATCH(MAX(Pivot!$B$10:$F$10),Pivot!$B$10:$F$10,0))</f>
        <v>Books</v>
      </c>
      <c r="D7" s="6" t="str">
        <f>'Monthly Growth'!E16&amp;" "&amp;TEXT('Monthly Growth'!D16,"0.0%")</f>
        <v>▲ 26.1%</v>
      </c>
      <c r="E7" s="3">
        <f>AVERAGE(Data!$E$2:$E$201)</f>
        <v>976.08879999999965</v>
      </c>
      <c r="F7" s="7">
        <f>Regression!B6</f>
        <v>0.5981522996264409</v>
      </c>
    </row>
    <row r="10" spans="1:6" ht="15.6" x14ac:dyDescent="0.3">
      <c r="A10" s="8" t="s">
        <v>13</v>
      </c>
    </row>
    <row r="11" spans="1:6" x14ac:dyDescent="0.3">
      <c r="A11" s="9" t="str">
        <f>"1. "&amp;B7&amp;" is the strongest region with "&amp;TEXT(MAX(Pivot!$G$5:$G$9),"#,##0")&amp;" in sales ("&amp;TEXT(MAX(Pivot!$G$5:$G$9)/Pivot!$G$10,"0%")&amp;" of total)."</f>
        <v>1. West is the strongest region with 44,084 in sales (23% of total).</v>
      </c>
    </row>
    <row r="12" spans="1:6" x14ac:dyDescent="0.3">
      <c r="A12" s="9" t="str">
        <f>"2. "&amp;C7&amp;" is the top product category, contributing "&amp;TEXT(MAX(Pivot!$B$10:$F$10)/Pivot!$G$10,"0%")&amp;" of sales."</f>
        <v>2. Books is the top product category, contributing 24% of sales.</v>
      </c>
    </row>
    <row r="13" spans="1:6" x14ac:dyDescent="0.3">
      <c r="A13" s="9" t="str">
        <f>"3. Top customer "&amp;A7&amp;" spent "&amp;TEXT(MAX(Customers!$C$5:$C$34),"#,##0")&amp;"; "&amp;F4&amp;" customers are above the high-value threshold."</f>
        <v>3. Top customer CUST015 spent 11,611; 8 customers are above the high-value threshold.</v>
      </c>
    </row>
    <row r="14" spans="1:6" x14ac:dyDescent="0.3">
      <c r="A14" s="9" t="str">
        <f>"4. Overall profit margin is "&amp;TEXT(C4,"0.0%")&amp;" with an average discount of "&amp;TEXT(D4,"0.0%")&amp;"."</f>
        <v>4. Overall profit margin is 35.0% with an average discount of 9.7%.</v>
      </c>
    </row>
    <row r="15" spans="1:6" x14ac:dyDescent="0.3">
      <c r="A15" s="9" t="str">
        <f>"5. Last full month (Mar-2025) sales moved "&amp;D7&amp;" versus the previous month."</f>
        <v>5. Last full month (Mar-2025) sales moved ▲ 26.1% versus the previous month.</v>
      </c>
    </row>
    <row r="16" spans="1:6" x14ac:dyDescent="0.3">
      <c r="A16" s="9" t="str">
        <f>IF(Regression!F13&lt;0.05,"6. Sales significantly drives profit (regression p-value &lt; 0.05, R² = "&amp;TEXT(Regression!B6,"0.00")&amp;").","6. Sales does not significantly explain profit (p-value &gt;= 0.05).")</f>
        <v>6. Sales significantly drives profit (regression p-value &lt; 0.05, R² = 0.60).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7"/>
  <sheetViews>
    <sheetView zoomScaleNormal="100" workbookViewId="0">
      <selection activeCell="A5" sqref="A5:G17"/>
    </sheetView>
  </sheetViews>
  <sheetFormatPr defaultColWidth="8.6640625" defaultRowHeight="14.4" x14ac:dyDescent="0.3"/>
  <cols>
    <col min="1" max="1" width="22" customWidth="1"/>
    <col min="2" max="7" width="14" customWidth="1"/>
  </cols>
  <sheetData>
    <row r="1" spans="1:7" ht="17.399999999999999" x14ac:dyDescent="0.3">
      <c r="A1" s="35" t="s">
        <v>162</v>
      </c>
      <c r="B1" s="35"/>
      <c r="C1" s="35"/>
      <c r="D1" s="35"/>
      <c r="E1" s="35"/>
      <c r="F1" s="35"/>
      <c r="G1" s="35"/>
    </row>
    <row r="2" spans="1:7" x14ac:dyDescent="0.3">
      <c r="A2" s="1" t="s">
        <v>163</v>
      </c>
    </row>
    <row r="4" spans="1:7" x14ac:dyDescent="0.3">
      <c r="A4" s="43" t="s">
        <v>164</v>
      </c>
      <c r="B4" s="43" t="s">
        <v>18</v>
      </c>
      <c r="C4" s="43" t="s">
        <v>19</v>
      </c>
      <c r="D4" s="43" t="s">
        <v>20</v>
      </c>
      <c r="E4" s="43" t="s">
        <v>22</v>
      </c>
      <c r="F4" s="43" t="s">
        <v>165</v>
      </c>
      <c r="G4" s="43" t="s">
        <v>166</v>
      </c>
    </row>
    <row r="5" spans="1:7" x14ac:dyDescent="0.3">
      <c r="A5" s="44" t="s">
        <v>167</v>
      </c>
      <c r="B5" s="38">
        <f>AVERAGE(Data!$E$2:$E$201)</f>
        <v>976.08879999999965</v>
      </c>
      <c r="C5" s="38">
        <f>AVERAGE(Data!$F$2:$F$201)</f>
        <v>9.9949999999999992</v>
      </c>
      <c r="D5" s="45">
        <f>AVERAGE(Data!$G$2:$G$201)</f>
        <v>9.7250000000000003E-2</v>
      </c>
      <c r="E5" s="38">
        <f>AVERAGE(Data!$I$2:$I$201)</f>
        <v>341.43505000000005</v>
      </c>
      <c r="F5" s="38">
        <f>AVERAGE(Data!$J$2:$J$201)</f>
        <v>1090.1359698959407</v>
      </c>
      <c r="G5" s="38">
        <f>AVERAGE(Data!$K$2:$K$201)</f>
        <v>634.65374999999995</v>
      </c>
    </row>
    <row r="6" spans="1:7" x14ac:dyDescent="0.3">
      <c r="A6" s="44" t="s">
        <v>140</v>
      </c>
      <c r="B6" s="38">
        <f>STDEV(Data!$E$2:$E$201)/SQRT(COUNT(Data!$E$2:$E$201))</f>
        <v>21.161850448978406</v>
      </c>
      <c r="C6" s="38">
        <f>STDEV(Data!$F$2:$F$201)/SQRT(COUNT(Data!$F$2:$F$201))</f>
        <v>0.39927682743257598</v>
      </c>
      <c r="D6" s="45">
        <f>STDEV(Data!$G$2:$G$201)/SQRT(COUNT(Data!$G$2:$G$201))</f>
        <v>5.1142413732752686E-3</v>
      </c>
      <c r="E6" s="38">
        <f>STDEV(Data!$I$2:$I$201)/SQRT(COUNT(Data!$I$2:$I$201))</f>
        <v>9.6001196472332531</v>
      </c>
      <c r="F6" s="38">
        <f>STDEV(Data!$J$2:$J$201)/SQRT(COUNT(Data!$J$2:$J$201))</f>
        <v>25.317049694798392</v>
      </c>
      <c r="G6" s="38">
        <f>STDEV(Data!$K$2:$K$201)/SQRT(COUNT(Data!$K$2:$K$201))</f>
        <v>15.024739851331464</v>
      </c>
    </row>
    <row r="7" spans="1:7" x14ac:dyDescent="0.3">
      <c r="A7" s="44" t="s">
        <v>168</v>
      </c>
      <c r="B7" s="38">
        <f>MEDIAN(Data!$E$2:$E$201)</f>
        <v>976.72</v>
      </c>
      <c r="C7" s="38">
        <f>MEDIAN(Data!$F$2:$F$201)</f>
        <v>10</v>
      </c>
      <c r="D7" s="45">
        <f>MEDIAN(Data!$G$2:$G$201)</f>
        <v>0.1</v>
      </c>
      <c r="E7" s="38">
        <f>MEDIAN(Data!$I$2:$I$201)</f>
        <v>332.255</v>
      </c>
      <c r="F7" s="38">
        <f>MEDIAN(Data!$J$2:$J$201)</f>
        <v>1074.5947368421052</v>
      </c>
      <c r="G7" s="38">
        <f>MEDIAN(Data!$K$2:$K$201)</f>
        <v>630.85500000000002</v>
      </c>
    </row>
    <row r="8" spans="1:7" x14ac:dyDescent="0.3">
      <c r="A8" s="44" t="s">
        <v>169</v>
      </c>
      <c r="B8" s="38" t="str">
        <f>IFERROR(MODE(Data!$E$2:$E$201),"N/A")</f>
        <v>N/A</v>
      </c>
      <c r="C8" s="38">
        <f>IFERROR(MODE(Data!$F$2:$F$201),"N/A")</f>
        <v>8</v>
      </c>
      <c r="D8" s="45">
        <f>IFERROR(MODE(Data!$G$2:$G$201),"N/A")</f>
        <v>0.2</v>
      </c>
      <c r="E8" s="38" t="str">
        <f>IFERROR(MODE(Data!$I$2:$I$201),"N/A")</f>
        <v>N/A</v>
      </c>
      <c r="F8" s="38" t="str">
        <f>IFERROR(MODE(Data!$J$2:$J$201),"N/A")</f>
        <v>N/A</v>
      </c>
      <c r="G8" s="38" t="str">
        <f>IFERROR(MODE(Data!$K$2:$K$201),"N/A")</f>
        <v>N/A</v>
      </c>
    </row>
    <row r="9" spans="1:7" x14ac:dyDescent="0.3">
      <c r="A9" s="44" t="s">
        <v>170</v>
      </c>
      <c r="B9" s="38">
        <f>STDEV(Data!$E$2:$E$201)</f>
        <v>299.27375909856431</v>
      </c>
      <c r="C9" s="38">
        <f>STDEV(Data!$F$2:$F$201)</f>
        <v>5.6466270449645082</v>
      </c>
      <c r="D9" s="45">
        <f>STDEV(Data!$G$2:$G$201)</f>
        <v>7.232629511335488E-2</v>
      </c>
      <c r="E9" s="38">
        <f>STDEV(Data!$I$2:$I$201)</f>
        <v>135.7661940552168</v>
      </c>
      <c r="F9" s="38">
        <f>STDEV(Data!$J$2:$J$201)</f>
        <v>358.03715037657514</v>
      </c>
      <c r="G9" s="38">
        <f>STDEV(Data!$K$2:$K$201)</f>
        <v>212.48190868880477</v>
      </c>
    </row>
    <row r="10" spans="1:7" x14ac:dyDescent="0.3">
      <c r="A10" s="44" t="s">
        <v>171</v>
      </c>
      <c r="B10" s="38">
        <f>VAR(Data!$E$2:$E$201)</f>
        <v>89564.782884985514</v>
      </c>
      <c r="C10" s="38">
        <f>VAR(Data!$F$2:$F$201)</f>
        <v>31.884396984924617</v>
      </c>
      <c r="D10" s="45">
        <f>VAR(Data!$G$2:$G$201)</f>
        <v>5.2310929648241022E-3</v>
      </c>
      <c r="E10" s="38">
        <f>VAR(Data!$I$2:$I$201)</f>
        <v>18432.459448238787</v>
      </c>
      <c r="F10" s="38">
        <f>VAR(Data!$J$2:$J$201)</f>
        <v>128190.6010497783</v>
      </c>
      <c r="G10" s="38">
        <f>VAR(Data!$K$2:$K$201)</f>
        <v>45148.561520037561</v>
      </c>
    </row>
    <row r="11" spans="1:7" x14ac:dyDescent="0.3">
      <c r="A11" s="44" t="s">
        <v>172</v>
      </c>
      <c r="B11" s="46">
        <f>KURT(Data!$E$2:$E$201)</f>
        <v>-8.8595231919740502E-2</v>
      </c>
      <c r="C11" s="46">
        <f>KURT(Data!$F$2:$F$201)</f>
        <v>-1.2091053826620759</v>
      </c>
      <c r="D11" s="46">
        <f>KURT(Data!$G$2:$G$201)</f>
        <v>-1.3257012415855784</v>
      </c>
      <c r="E11" s="46">
        <f>KURT(Data!$I$2:$I$201)</f>
        <v>0.26450643813582442</v>
      </c>
      <c r="F11" s="46">
        <f>KURT(Data!$J$2:$J$201)</f>
        <v>0.64665029537431185</v>
      </c>
      <c r="G11" s="46">
        <f>KURT(Data!$K$2:$K$201)</f>
        <v>0.34253245330314375</v>
      </c>
    </row>
    <row r="12" spans="1:7" x14ac:dyDescent="0.3">
      <c r="A12" s="44" t="s">
        <v>173</v>
      </c>
      <c r="B12" s="46">
        <f>SKEW(Data!$E$2:$E$201)</f>
        <v>0.14685796564193557</v>
      </c>
      <c r="C12" s="46">
        <f>SKEW(Data!$F$2:$F$201)</f>
        <v>6.084586432077814E-2</v>
      </c>
      <c r="D12" s="46">
        <f>SKEW(Data!$G$2:$G$201)</f>
        <v>9.6827385576684841E-2</v>
      </c>
      <c r="E12" s="46">
        <f>SKEW(Data!$I$2:$I$201)</f>
        <v>0.57339636063424715</v>
      </c>
      <c r="F12" s="46">
        <f>SKEW(Data!$J$2:$J$201)</f>
        <v>0.48728208827617236</v>
      </c>
      <c r="G12" s="46">
        <f>SKEW(Data!$K$2:$K$201)</f>
        <v>0.41723036403259034</v>
      </c>
    </row>
    <row r="13" spans="1:7" x14ac:dyDescent="0.3">
      <c r="A13" s="44" t="s">
        <v>174</v>
      </c>
      <c r="B13" s="38">
        <f>MAX(Data!$E$2:$E$201)-MIN(Data!$E$2:$E$201)</f>
        <v>1665.15</v>
      </c>
      <c r="C13" s="38">
        <f>MAX(Data!$F$2:$F$201)-MIN(Data!$F$2:$F$201)</f>
        <v>18</v>
      </c>
      <c r="D13" s="45">
        <f>MAX(Data!$G$2:$G$201)-MIN(Data!$G$2:$G$201)</f>
        <v>0.2</v>
      </c>
      <c r="E13" s="38">
        <f>MAX(Data!$I$2:$I$201)-MIN(Data!$I$2:$I$201)</f>
        <v>704.83</v>
      </c>
      <c r="F13" s="38">
        <f>MAX(Data!$J$2:$J$201)-MIN(Data!$J$2:$J$201)</f>
        <v>2146.0649999999996</v>
      </c>
      <c r="G13" s="38">
        <f>MAX(Data!$K$2:$K$201)-MIN(Data!$K$2:$K$201)</f>
        <v>1151.0900000000001</v>
      </c>
    </row>
    <row r="14" spans="1:7" x14ac:dyDescent="0.3">
      <c r="A14" s="44" t="s">
        <v>175</v>
      </c>
      <c r="B14" s="38">
        <f>MIN(Data!$E$2:$E$201)</f>
        <v>258.51</v>
      </c>
      <c r="C14" s="38">
        <f>MIN(Data!$F$2:$F$201)</f>
        <v>1</v>
      </c>
      <c r="D14" s="45">
        <f>MIN(Data!$G$2:$G$201)</f>
        <v>0</v>
      </c>
      <c r="E14" s="38">
        <f>MIN(Data!$I$2:$I$201)</f>
        <v>64.63</v>
      </c>
      <c r="F14" s="38">
        <f>MIN(Data!$J$2:$J$201)</f>
        <v>258.51</v>
      </c>
      <c r="G14" s="38">
        <f>MIN(Data!$K$2:$K$201)</f>
        <v>193.88</v>
      </c>
    </row>
    <row r="15" spans="1:7" x14ac:dyDescent="0.3">
      <c r="A15" s="44" t="s">
        <v>176</v>
      </c>
      <c r="B15" s="38">
        <f>MAX(Data!$E$2:$E$201)</f>
        <v>1923.66</v>
      </c>
      <c r="C15" s="38">
        <f>MAX(Data!$F$2:$F$201)</f>
        <v>19</v>
      </c>
      <c r="D15" s="45">
        <f>MAX(Data!$G$2:$G$201)</f>
        <v>0.2</v>
      </c>
      <c r="E15" s="38">
        <f>MAX(Data!$I$2:$I$201)</f>
        <v>769.46</v>
      </c>
      <c r="F15" s="38">
        <f>MAX(Data!$J$2:$J$201)</f>
        <v>2404.5749999999998</v>
      </c>
      <c r="G15" s="38">
        <f>MAX(Data!$K$2:$K$201)</f>
        <v>1344.97</v>
      </c>
    </row>
    <row r="16" spans="1:7" x14ac:dyDescent="0.3">
      <c r="A16" s="44" t="s">
        <v>177</v>
      </c>
      <c r="B16" s="38">
        <f>SUM(Data!$E$2:$E$201)</f>
        <v>195217.75999999992</v>
      </c>
      <c r="C16" s="38">
        <f>SUM(Data!$F$2:$F$201)</f>
        <v>1999</v>
      </c>
      <c r="D16" s="45">
        <f>SUM(Data!$G$2:$G$201)</f>
        <v>19.45</v>
      </c>
      <c r="E16" s="38">
        <f>SUM(Data!$I$2:$I$201)</f>
        <v>68287.010000000009</v>
      </c>
      <c r="F16" s="38">
        <f>SUM(Data!$J$2:$J$201)</f>
        <v>218027.19397918813</v>
      </c>
      <c r="G16" s="38">
        <f>SUM(Data!$K$2:$K$201)</f>
        <v>126930.74999999999</v>
      </c>
    </row>
    <row r="17" spans="1:7" x14ac:dyDescent="0.3">
      <c r="A17" s="44" t="s">
        <v>178</v>
      </c>
      <c r="B17" s="47">
        <f>COUNT(Data!$E$2:$E$201)</f>
        <v>200</v>
      </c>
      <c r="C17" s="47">
        <f>COUNT(Data!$F$2:$F$201)</f>
        <v>200</v>
      </c>
      <c r="D17" s="47">
        <f>COUNT(Data!$G$2:$G$201)</f>
        <v>200</v>
      </c>
      <c r="E17" s="47">
        <f>COUNT(Data!$I$2:$I$201)</f>
        <v>200</v>
      </c>
      <c r="F17" s="47">
        <f>COUNT(Data!$J$2:$J$201)</f>
        <v>200</v>
      </c>
      <c r="G17" s="47">
        <f>COUNT(Data!$K$2:$K$201)</f>
        <v>200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Customers</vt:lpstr>
      <vt:lpstr>What-If</vt:lpstr>
      <vt:lpstr>Regression</vt:lpstr>
      <vt:lpstr>Data</vt:lpstr>
      <vt:lpstr>Monthly Growth</vt:lpstr>
      <vt:lpstr>High Value</vt:lpstr>
      <vt:lpstr>Pivot</vt:lpstr>
      <vt:lpstr>Dashboard</vt:lpstr>
      <vt:lpstr>Descriptive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1</cp:revision>
  <dcterms:created xsi:type="dcterms:W3CDTF">2026-10-28T04:06:30Z</dcterms:created>
  <dcterms:modified xsi:type="dcterms:W3CDTF">2026-10-28T16:44:34Z</dcterms:modified>
  <dc:language>en-US</dc:language>
</cp:coreProperties>
</file>